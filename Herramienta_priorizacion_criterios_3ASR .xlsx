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https://universidadmag-my.sharepoint.com/personal/haroldhernandezds_unimagdalena_edu_co/Documents/MAESTRIA EN INGENIERIA/TOMA DE DECISIONES/"/>
    </mc:Choice>
  </mc:AlternateContent>
  <xr:revisionPtr revIDLastSave="131" documentId="11_2D348943321BE02458B0CAD373D8FAD2BFA1BBC1" xr6:coauthVersionLast="47" xr6:coauthVersionMax="47" xr10:uidLastSave="{8D4757B1-9840-0E43-974B-357820EB196A}"/>
  <bookViews>
    <workbookView xWindow="0" yWindow="660" windowWidth="29400" windowHeight="16860" tabRatio="500" activeTab="6" xr2:uid="{00000000-000D-0000-FFFF-FFFF00000000}"/>
  </bookViews>
  <sheets>
    <sheet name="Instrucciones" sheetId="1" r:id="rId1"/>
    <sheet name="Ejemplo 1. Lluvia de ideas" sheetId="2" r:id="rId2"/>
    <sheet name="Ejemplo 2. Tamizaje" sheetId="3" r:id="rId3"/>
    <sheet name="Ejemplo 3. Independencia" sheetId="4" r:id="rId4"/>
    <sheet name="Ejemplo 4. Panel de importancia" sheetId="5" r:id="rId5"/>
    <sheet name="Ejemplo 5. Resultado final" sheetId="6" r:id="rId6"/>
    <sheet name="Plantilla en blanco" sheetId="7" r:id="rId7"/>
    <sheet name="Hoja1"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5" i="7" l="1"/>
  <c r="G11" i="5"/>
  <c r="G10" i="5"/>
  <c r="B9" i="6" s="1"/>
  <c r="G9" i="5"/>
  <c r="B13" i="6" s="1"/>
  <c r="G8" i="5"/>
  <c r="B8" i="6" s="1"/>
  <c r="G7" i="5"/>
  <c r="B7" i="6" s="1"/>
  <c r="G6" i="5"/>
  <c r="B6" i="6" s="1"/>
  <c r="G5" i="5"/>
  <c r="B5" i="6" s="1"/>
  <c r="G11" i="7"/>
  <c r="G10" i="7"/>
  <c r="G9" i="7"/>
  <c r="G8" i="7"/>
  <c r="G7" i="7"/>
  <c r="G6" i="7"/>
</calcChain>
</file>

<file path=xl/sharedStrings.xml><?xml version="1.0" encoding="utf-8"?>
<sst xmlns="http://schemas.openxmlformats.org/spreadsheetml/2006/main" count="182" uniqueCount="124">
  <si>
    <t>Herramienta de priorización de criterios — Toma de Decisiones Multicriterio</t>
  </si>
  <si>
    <t>Universidad del Magdalena · Maestría en Ingeniería · Sesión 1</t>
  </si>
  <si>
    <t>¿Para qué sirve?</t>
  </si>
  <si>
    <t>Cuando tienes una lista larga de criterios candidatos para tu problema de decisión (los que salen de una lluvia de ideas + tamizaje), esta herramienta te ayuda a priorizarlos de forma objetiva, calificándolos en grupo en vez de elegirlos a ojo.</t>
  </si>
  <si>
    <t>Cómo se usa</t>
  </si>
  <si>
    <t>1. Lista tus criterios candidatos en la columna A de la hoja "Plantilla en blanco" (5 a 15).</t>
  </si>
  <si>
    <t>2. Cada evaluador (tú, tu director de tesis, compañeros, expertos) califica cada criterio de 
        1 (nada importante) a 5 (crítico), en su propia columna.</t>
  </si>
  <si>
    <t>3. La columna "Ponderación" calcula automáticamente el promedio de esas calificaciones con la fórmula =PROMEDIO(...) — no hay que calcular nada a mano.</t>
  </si>
  <si>
    <t>4. Ordena los criterios de mayor a menor ponderación (Datos &gt; Ordenar en Excel).</t>
  </si>
  <si>
    <t>5. Define un corte (por umbral, ej. ≥3.5/5, o por cantidad, ej. los 5 mejores) y documenta por qué — el corte debe quedar justificado por escrito, no ser arbitrario.</t>
  </si>
  <si>
    <t>Ver el ejemplo ya resuelto, un proceso completo real (lluvia de ideas, tamizaje, independencia, panel de importancia, resultado final) en las hojas "Ejemplo 1" a "Ejemplo 5".</t>
  </si>
  <si>
    <t>Ejemplo resuelto -- 1. Lluvia de ideas: elegir estrategia de adaptación de modelos ASR para una lengua indígena de bajos recursos</t>
  </si>
  <si>
    <t>Objetivo del ejemplo: elegir, entre 4 estrategias de adaptación candidatas (fine-tuning supervisado, transfer learning cross-lingual, aprendizaje autosupervisado, data augmentation), cuál usar para entrenar un modelo ASR en una lengua indígena de tradición oral de la región Caribe colombiana con escasos recursos lingüísticos digitales. Antes de comparar las alternativas hay que decidir qué criterios usar para compararlas.</t>
  </si>
  <si>
    <t>#</t>
  </si>
  <si>
    <t>Candidato</t>
  </si>
  <si>
    <t>Descripción</t>
  </si>
  <si>
    <t>Eficiencia de datos</t>
  </si>
  <si>
    <t>Horas de audio transcrito necesarias para un desempeño aceptable</t>
  </si>
  <si>
    <t>Precisión alcanzable (WER/CER)</t>
  </si>
  <si>
    <t>Desempeño reportado en literatura para lenguas de bajos recursos</t>
  </si>
  <si>
    <t>Costo computacional</t>
  </si>
  <si>
    <t>GPU/horas de cómputo y almacenamiento</t>
  </si>
  <si>
    <t>Tiempo total de entrenamiento</t>
  </si>
  <si>
    <t>Horas de cómputo/GPU necesarias hasta obtener el modelo entrenado</t>
  </si>
  <si>
    <t>Complejidad de implementación técnica</t>
  </si>
  <si>
    <t>Qué tan fácil es montar la estrategia: pasos, ajustes finos, curva de aprendizaje</t>
  </si>
  <si>
    <t>Madurez y soporte de herramientas</t>
  </si>
  <si>
    <t>Whisper, wav2vec 2.0, MMS</t>
  </si>
  <si>
    <t>Transferibilidad a otras lenguas de la Sierra Nevada</t>
  </si>
  <si>
    <t>Qué tan bien se traslada el modelo/conocimiento aprendido a otra lengua sin reentrenar desde cero</t>
  </si>
  <si>
    <t>Dependencia de datos anotados por hablantes nativos</t>
  </si>
  <si>
    <t>Cuántas horas de habla debe transcribir/etiquetar un hablante nativo para que la estrategia funcione</t>
  </si>
  <si>
    <t>Robustez ante datos ruidosos o de campo</t>
  </si>
  <si>
    <t>Desempeño de la estrategia cuando el audio tiene ruido ambiental, acentos o grabaciones de campo</t>
  </si>
  <si>
    <t>Escalabilidad si crece el corpus en el futuro</t>
  </si>
  <si>
    <t>Si el desempeño se mantiene o mejora al añadir más datos en el futuro</t>
  </si>
  <si>
    <t>Reproducibilidad metodológica</t>
  </si>
  <si>
    <t>Documentable y replicable</t>
  </si>
  <si>
    <t>Riesgo de sobreajuste (overfitting) con corpus pequeño</t>
  </si>
  <si>
    <t>Probabilidad de que el modelo memorice el corpus pequeño en vez de generalizar</t>
  </si>
  <si>
    <t>Ejemplo resuelto -- 2. Tamizaje: elimina duplicados y candidatos irrelevantes para el caso</t>
  </si>
  <si>
    <t>Se elimina porque...</t>
  </si>
  <si>
    <t>Evidencia</t>
  </si>
  <si>
    <t>Se funde con Costo computacional: en la práctica el tiempo es consecuencia directa del costo de cómputo disponible, no una dimensión independiente.</t>
  </si>
  <si>
    <t>Baevski et al. 2020; Radford et al. 2022</t>
  </si>
  <si>
    <t>Se funde con Madurez y soporte de herramientas: lo que hace compleja o simple una estrategia es si existe una implementación madura y documentada o si hay que construirla desde cero.</t>
  </si>
  <si>
    <t>Pratap et al. 2023 (MMS)</t>
  </si>
  <si>
    <t>No es medible aún por alternativa: no existe todavía corpus grabado en campo para esta lengua.</t>
  </si>
  <si>
    <t>Anexo 2 vigente, §Metodología</t>
  </si>
  <si>
    <t>No distingue entre las 4 estrategias en el momento de la decisión; las 4 escalan de forma comparable si el corpus crece.</t>
  </si>
  <si>
    <t>Es consecuencia directa de Eficiencia de datos; se solaparía con ese criterio al calificar.</t>
  </si>
  <si>
    <t>Zevallos et al. 2022 (data augmentation, Quechua)</t>
  </si>
  <si>
    <t>Pool restante tras tamizaje: 7 candidatos (todos los de Ejemplo 1, menos estos 5).</t>
  </si>
  <si>
    <t>Ejemplo resuelto -- 3. Verifica independencia de los 7 candidatos que llegan al panel</t>
  </si>
  <si>
    <t>Verificación de que los 7 candidatos que pasaron el tamizaje no se solapan entre sí: eficiencia de datos es una propiedad de cuánto corpus etiquetado exige la estrategia; precisión es el desempeño resultante; costo computacional es un recurso de infraestructura; madurez de herramientas es un hecho de ecosistema de software; transferibilidad es portabilidad del conocimiento aprendido; dependencia de anotación es un costo social hacia la comunidad; reproducibilidad es rigor metodológico documental.</t>
  </si>
  <si>
    <t>Eje</t>
  </si>
  <si>
    <t>Qué mide</t>
  </si>
  <si>
    <t>Evidencia de que son ejes distintos</t>
  </si>
  <si>
    <t>Decisión</t>
  </si>
  <si>
    <t>Cuánto corpus etiquetado exige la estrategia para un desempeño aceptable.</t>
  </si>
  <si>
    <t>El aprendizaje autosupervisado puede requerir menos audio etiquetado pero más cómputo; el fine-tuning supervisado, lo inverso — no covaría con Costo computacional.</t>
  </si>
  <si>
    <t>Se mantiene como eje independiente.</t>
  </si>
  <si>
    <t>Desempeño reportado en la literatura para lenguas de bajos recursos.</t>
  </si>
  <si>
    <t>Una estrategia puede ser eficiente en datos pero no llegar a la mejor precisión reportada (ej. data augmentation); prueba de que ambos ejes miden cosas distintas.</t>
  </si>
  <si>
    <t>GPU/horas de cómputo y almacenamiento que exige el entrenamiento.</t>
  </si>
  <si>
    <t>Depende del hardware disponible, no de cuántos datos etiquetados existan ni de qué tan madura esté la herramienta.</t>
  </si>
  <si>
    <t>Existencia de implementaciones estables y documentadas (Whisper, wav2vec 2.0, MMS).</t>
  </si>
  <si>
    <t>Una estrategia puede ser barata en cómputo pero tener herramientas poco maduras, o viceversa; hecho de ecosistema de software.</t>
  </si>
  <si>
    <t>Transferibilidad entre lenguas</t>
  </si>
  <si>
    <t>Si lo aprendido sirve para otra lengua de la Sierra Nevada sin rehacer todo.</t>
  </si>
  <si>
    <t>Es una propiedad de portabilidad del conocimiento aprendido, distinta de qué tan preciso o barato es entrenar para una sola lengua.</t>
  </si>
  <si>
    <t>Dependencia de anotación por hablantes</t>
  </si>
  <si>
    <t>Cuánto trabajo de transcripción exige a la comunidad.</t>
  </si>
  <si>
    <t>Es un costo social/operativo hacia la comunidad, distinto del costo computacional (que es un costo hacia la infraestructura).</t>
  </si>
  <si>
    <t>Qué tan documentable y replicable queda el procedimiento.</t>
  </si>
  <si>
    <t>Una estrategia puede ser precisa pero poco reproducible si depende de ajustes no documentados; es un eje de rigor metodológico, no de desempeño.</t>
  </si>
  <si>
    <t>Ejemplo resuelto -- 4. Panel de importancia: 5 preguntas de evidencia (no opiniones inventadas)</t>
  </si>
  <si>
    <t>Cada columna es una pregunta verificable contra fuentes técnicas reales (papers fundacionales de cada estrategia, el Anexo 2 vigente), no una opinión inventada.</t>
  </si>
  <si>
    <t>Criterio</t>
  </si>
  <si>
    <t>Q1: ¿hay evidencia técnica citable (paper fundacional, documentación oficial) para las 4 estrategias?</t>
  </si>
  <si>
    <t>Q2: ¿dato cuantitativo/verificable y comparable entre las 4?</t>
  </si>
  <si>
    <t>Q3: ¿evidencia consistente y actual (no contradictoria, no obsoleta)?</t>
  </si>
  <si>
    <t>Q4: ¿independiente de los demás candidatos?</t>
  </si>
  <si>
    <t>Q5: ¿directamente crítico para el objetivo del caso?</t>
  </si>
  <si>
    <t>Ponderación</t>
  </si>
  <si>
    <t>Corte elegido: &gt;= 4.0 (brecha real frente al siguiente candidato, Transferibilidad entre lenguas en 3.8). Convención práctica del curso, no un estándar citado -- documenta tu propio corte. Fuente de los puntajes: Anexo 2 vigente + bibliografía fundacional (Baevski et al. 2020; Radford et al. 2022; Pratap et al. 2023).</t>
  </si>
  <si>
    <t>Ejemplo resuelto -- 5. Resultado final: 5 finalistas + tabla de descarte documentada</t>
  </si>
  <si>
    <t>Finalistas (ponderación &gt;= 4.0)</t>
  </si>
  <si>
    <t>Por qué queda</t>
  </si>
  <si>
    <t>Escasez de recursos digitales es la premisa central de la tesis; consistente en las 5 preguntas.</t>
  </si>
  <si>
    <t>Es la métrica de evaluación del OE1 del Anexo 2 vigente.</t>
  </si>
  <si>
    <t>Determina la viabilidad práctica de cada estrategia dado el hardware disponible.</t>
  </si>
  <si>
    <t>Existencia de implementaciones estables (Whisper, wav2vec 2.0, MMS) o necesidad de construir desde cero.</t>
  </si>
  <si>
    <t>Criterio ético-operativo: conecta la decisión con el CITS y la participación comunitaria.</t>
  </si>
  <si>
    <t>Candidato en el límite (no incluido, pero documentado)</t>
  </si>
  <si>
    <t>Nota</t>
  </si>
  <si>
    <t>Justo bajo el corte: relevante para la sostenibilidad metodológica del proyecto, pero no crítico para decidir entre las 4 estrategias hoy.</t>
  </si>
  <si>
    <t>Tabla de descarte, con razón documentada de cada uno</t>
  </si>
  <si>
    <t>Etapa de descarte</t>
  </si>
  <si>
    <t>Razón</t>
  </si>
  <si>
    <t>Panel de evidencia</t>
  </si>
  <si>
    <t>Ponderación 2.8, la más baja: depende de qué tan documentado quede el procedimiento, no de evidencia técnica citable per se.</t>
  </si>
  <si>
    <t>Tamizaje</t>
  </si>
  <si>
    <t>Se funde con Costo computacional.</t>
  </si>
  <si>
    <t>Se funde con Madurez y soporte de herramientas.</t>
  </si>
  <si>
    <t>No medible aún: no existe corpus grabado en campo.</t>
  </si>
  <si>
    <t>No distingue entre las 4 estrategias en el momento de decidir.</t>
  </si>
  <si>
    <t>Consecuencia directa de Eficiencia de datos.</t>
  </si>
  <si>
    <t xml:space="preserve">Tu problema:elegir la mejor estrategia de entrenamiento del modelo ASR para una lengua de bajos recursos </t>
  </si>
  <si>
    <t>Seleccionar la estrategia de adaptación de modelos de reconocimiento automático de voz (ASR) con mejor desempeño para una lengua indígena de la región  con escasos recursos lingüísticos digitales</t>
  </si>
  <si>
    <t>Evaluador 1</t>
  </si>
  <si>
    <t>Evaluador 2</t>
  </si>
  <si>
    <t>Evaluador 3</t>
  </si>
  <si>
    <t>Aquí tienes una explicación breve de cada criterio de tu lista final (los 7 que pasaron el tamizaje):</t>
  </si>
  <si>
    <r>
      <t>Eficiencia de datos</t>
    </r>
    <r>
      <rPr>
        <sz val="11"/>
        <color theme="1"/>
        <rFont val="Calibri"/>
        <family val="2"/>
        <charset val="1"/>
      </rPr>
      <t xml:space="preserve"> — cuánta cantidad de audio transcrito/etiquetado necesita la estrategia para llegar a un desempeño aceptable. Es el criterio más importante porque tu tesis parte precisamente de la escasez de recursos lingüísticos digitales.</t>
    </r>
  </si>
  <si>
    <r>
      <t>Precisión alcanzable (WER/CER)</t>
    </r>
    <r>
      <rPr>
        <sz val="11"/>
        <color theme="1"/>
        <rFont val="Calibri"/>
        <family val="2"/>
        <charset val="1"/>
      </rPr>
      <t xml:space="preserve"> — qué tan bien reconoce el habla la estrategia, medido en Word Error Rate / Character Error Rate según lo reportado en la literatura para lenguas de bajos recursos. Es la métrica oficial de tu OE1.</t>
    </r>
  </si>
  <si>
    <r>
      <t>Costo computacional</t>
    </r>
    <r>
      <rPr>
        <sz val="11"/>
        <color theme="1"/>
        <rFont val="Calibri"/>
        <family val="2"/>
        <charset val="1"/>
      </rPr>
      <t xml:space="preserve"> — cuánta GPU, tiempo de cómputo y almacenamiento exige entrenar con esa estrategia. Determina si es viable con el hardware que realmente tienes disponible.</t>
    </r>
  </si>
  <si>
    <r>
      <t>Madurez y soporte de herramientas</t>
    </r>
    <r>
      <rPr>
        <sz val="11"/>
        <color theme="1"/>
        <rFont val="Calibri"/>
        <family val="2"/>
        <charset val="1"/>
      </rPr>
      <t xml:space="preserve"> — si ya existen implementaciones estables y bien documentadas (Whisper, wav2vec 2.0, MMS) para esa estrategia, o si tendrías que construirla desde cero.</t>
    </r>
  </si>
  <si>
    <r>
      <t>Transferibilidad entre lenguas</t>
    </r>
    <r>
      <rPr>
        <sz val="11"/>
        <color theme="1"/>
        <rFont val="Calibri"/>
        <family val="2"/>
        <charset val="1"/>
      </rPr>
      <t xml:space="preserve"> — si lo que el modelo aprende con una lengua sirve para otra lengua de la Sierra Nevada sin tener que reentrenar todo de nuevo. Importa para la sostenibilidad metodológica del proyecto a futuro.</t>
    </r>
  </si>
  <si>
    <r>
      <t>Dependencia de anotación por hablantes</t>
    </r>
    <r>
      <rPr>
        <sz val="11"/>
        <color theme="1"/>
        <rFont val="Calibri"/>
        <family val="2"/>
        <charset val="1"/>
      </rPr>
      <t xml:space="preserve"> — cuánto trabajo de transcripción le exige la estrategia a la comunidad hablante. Es un criterio ético-operativo, no solo técnico: conecta con el CITS y la participación comunitaria.</t>
    </r>
  </si>
  <si>
    <r>
      <t>Reproducibilidad metodológica</t>
    </r>
    <r>
      <rPr>
        <sz val="11"/>
        <color theme="1"/>
        <rFont val="Calibri"/>
        <family val="2"/>
        <charset val="1"/>
      </rPr>
      <t xml:space="preserve"> — qué tan documentable y replicable queda el procedimiento para tu capítulo metodológico y el artículo MDPI final.</t>
    </r>
  </si>
  <si>
    <r>
      <t>Eficiencia de datos</t>
    </r>
    <r>
      <rPr>
        <sz val="11"/>
        <color theme="1"/>
        <rFont val="Calibri"/>
        <family val="2"/>
        <charset val="1"/>
      </rPr>
      <t xml:space="preserve"> — cuánta cantidad de audio transcrito/etiquetado necesita la estrategia para llegar a un desempeño aceptable.</t>
    </r>
  </si>
  <si>
    <r>
      <t>Precisión alcanzable (WER/CER)</t>
    </r>
    <r>
      <rPr>
        <sz val="11"/>
        <color theme="1"/>
        <rFont val="Calibri"/>
        <family val="2"/>
        <charset val="1"/>
      </rPr>
      <t xml:space="preserve"> — qué tan bien reconoce el habla la estrategia, medido en Word Error Rate / Character Error Rate según lo reportado en la literatura para lenguas de bajos recursos.</t>
    </r>
  </si>
  <si>
    <t>Evaluador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</si>
</sst>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1"/>
      <color rgb="FF1B1F2A"/>
      <name val="Calibri"/>
      <family val="2"/>
      <charset val="1"/>
    </font>
    <font>
      <sz val="11"/>
      <color rgb="FF6B7280"/>
      <name val="Calibri"/>
      <family val="2"/>
      <charset val="1"/>
    </font>
    <font>
      <b/>
      <sz val="14"/>
      <color rgb="FF1B1F2A"/>
      <name val="Calibri"/>
      <family val="2"/>
      <charset val="1"/>
    </font>
    <font>
      <b/>
      <sz val="11"/>
      <color rgb="FFFFFFFF"/>
      <name val="Calibri"/>
      <family val="2"/>
      <charset val="1"/>
    </font>
    <font>
      <sz val="11"/>
      <color rgb="FF1B1F2A"/>
      <name val="Calibri"/>
      <family val="2"/>
      <charset val="1"/>
    </font>
    <font>
      <i/>
      <sz val="9"/>
      <color rgb="FF6B7280"/>
      <name val="Calibri"/>
      <family val="2"/>
      <charset val="1"/>
    </font>
    <font>
      <b/>
      <sz val="11"/>
      <color theme="1"/>
      <name val="Calibri"/>
      <family val="2"/>
      <charset val="1"/>
    </font>
  </fonts>
  <fills count="6">
    <fill>
      <patternFill patternType="none"/>
    </fill>
    <fill>
      <patternFill patternType="gray125"/>
    </fill>
    <fill>
      <patternFill patternType="solid">
        <fgColor rgb="FF1B1F2A"/>
        <bgColor rgb="FF333300"/>
      </patternFill>
    </fill>
    <fill>
      <patternFill patternType="solid">
        <fgColor rgb="FFF8D7DA"/>
        <bgColor rgb="FFCCCCCC"/>
      </patternFill>
    </fill>
    <fill>
      <patternFill patternType="solid">
        <fgColor rgb="FFD8F5E3"/>
        <bgColor rgb="FFCCFFFF"/>
      </patternFill>
    </fill>
    <fill>
      <patternFill patternType="solid">
        <fgColor rgb="FFFFFF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s>
  <cellStyleXfs count="1">
    <xf numFmtId="0" fontId="0" fillId="0" borderId="0"/>
  </cellStyleXfs>
  <cellXfs count="23">
    <xf numFmtId="0" fontId="0" fillId="0" borderId="0" xfId="0"/>
    <xf numFmtId="0" fontId="6" fillId="0" borderId="0" xfId="0" applyFont="1"/>
    <xf numFmtId="0" fontId="1" fillId="0" borderId="0" xfId="0" applyFont="1"/>
    <xf numFmtId="0" fontId="2" fillId="0" borderId="0" xfId="0" applyFont="1"/>
    <xf numFmtId="0" fontId="0" fillId="0" borderId="0" xfId="0" applyAlignment="1">
      <alignment wrapText="1"/>
    </xf>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top"/>
    </xf>
    <xf numFmtId="0" fontId="5" fillId="0" borderId="1" xfId="0" applyFont="1" applyBorder="1" applyAlignment="1">
      <alignment vertical="top" wrapText="1"/>
    </xf>
    <xf numFmtId="0" fontId="5" fillId="3" borderId="1" xfId="0" applyFont="1" applyFill="1" applyBorder="1" applyAlignment="1">
      <alignment vertical="top"/>
    </xf>
    <xf numFmtId="0" fontId="5" fillId="3" borderId="1" xfId="0" applyFont="1" applyFill="1" applyBorder="1" applyAlignment="1">
      <alignment vertical="top" wrapText="1"/>
    </xf>
    <xf numFmtId="164" fontId="5" fillId="0" borderId="1" xfId="0" applyNumberFormat="1" applyFont="1" applyBorder="1" applyAlignment="1">
      <alignment vertical="top"/>
    </xf>
    <xf numFmtId="0" fontId="5" fillId="4" borderId="1" xfId="0" applyFont="1" applyFill="1" applyBorder="1" applyAlignment="1">
      <alignment vertical="top"/>
    </xf>
    <xf numFmtId="164" fontId="5" fillId="4" borderId="1" xfId="0" applyNumberFormat="1" applyFont="1" applyFill="1" applyBorder="1" applyAlignment="1">
      <alignment vertical="top"/>
    </xf>
    <xf numFmtId="0" fontId="5" fillId="4" borderId="1" xfId="0" applyFont="1" applyFill="1" applyBorder="1" applyAlignment="1">
      <alignment vertical="top" wrapText="1"/>
    </xf>
    <xf numFmtId="0" fontId="7" fillId="0" borderId="0" xfId="0" applyFont="1" applyAlignment="1">
      <alignment wrapText="1"/>
    </xf>
    <xf numFmtId="0" fontId="2" fillId="0" borderId="0" xfId="0" applyFont="1" applyAlignment="1">
      <alignment horizontal="center" vertical="center" wrapText="1"/>
    </xf>
    <xf numFmtId="0" fontId="0" fillId="0" borderId="0" xfId="0" applyAlignment="1">
      <alignment vertical="top" wrapText="1"/>
    </xf>
    <xf numFmtId="0" fontId="6" fillId="0" borderId="0" xfId="0" applyFont="1"/>
    <xf numFmtId="0" fontId="4" fillId="2" borderId="3" xfId="0" applyFont="1" applyFill="1" applyBorder="1" applyAlignment="1">
      <alignment horizontal="center" vertical="center" wrapText="1"/>
    </xf>
    <xf numFmtId="0" fontId="5" fillId="0" borderId="4" xfId="0" applyFont="1" applyBorder="1" applyAlignment="1">
      <alignment vertical="top"/>
    </xf>
    <xf numFmtId="0" fontId="5" fillId="0" borderId="2" xfId="0" applyFont="1" applyBorder="1" applyAlignment="1">
      <alignment vertical="top"/>
    </xf>
    <xf numFmtId="0" fontId="5" fillId="5" borderId="2" xfId="0" applyFont="1" applyFill="1"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8F5E3"/>
      <rgbColor rgb="FFFFFF99"/>
      <rgbColor rgb="FF99CCFF"/>
      <rgbColor rgb="FFFF99CC"/>
      <rgbColor rgb="FFCC99FF"/>
      <rgbColor rgb="FFF8D7DA"/>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1F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zoomScale="169" zoomScaleNormal="169" workbookViewId="0"/>
  </sheetViews>
  <sheetFormatPr baseColWidth="10" defaultColWidth="8.83203125" defaultRowHeight="15" x14ac:dyDescent="0.2"/>
  <cols>
    <col min="1" max="1" width="100" customWidth="1"/>
  </cols>
  <sheetData>
    <row r="1" spans="1:1" ht="15" customHeight="1" x14ac:dyDescent="0.2">
      <c r="A1" s="2" t="s">
        <v>0</v>
      </c>
    </row>
    <row r="2" spans="1:1" ht="15" customHeight="1" x14ac:dyDescent="0.2">
      <c r="A2" s="3" t="s">
        <v>1</v>
      </c>
    </row>
    <row r="4" spans="1:1" ht="15" customHeight="1" x14ac:dyDescent="0.2">
      <c r="A4" s="2" t="s">
        <v>2</v>
      </c>
    </row>
    <row r="5" spans="1:1" ht="15" customHeight="1" x14ac:dyDescent="0.2">
      <c r="A5" t="s">
        <v>3</v>
      </c>
    </row>
    <row r="9" spans="1:1" ht="15" customHeight="1" x14ac:dyDescent="0.2">
      <c r="A9" s="2" t="s">
        <v>4</v>
      </c>
    </row>
    <row r="10" spans="1:1" ht="15" customHeight="1" x14ac:dyDescent="0.2">
      <c r="A10" t="s">
        <v>5</v>
      </c>
    </row>
    <row r="12" spans="1:1" ht="27.75" customHeight="1" x14ac:dyDescent="0.2">
      <c r="A12" s="4" t="s">
        <v>6</v>
      </c>
    </row>
    <row r="14" spans="1:1" ht="15" customHeight="1" x14ac:dyDescent="0.2">
      <c r="A14" t="s">
        <v>7</v>
      </c>
    </row>
    <row r="16" spans="1:1" ht="15" customHeight="1" x14ac:dyDescent="0.2">
      <c r="A16" t="s">
        <v>8</v>
      </c>
    </row>
    <row r="18" spans="1:1" ht="15" customHeight="1" x14ac:dyDescent="0.2">
      <c r="A18" t="s">
        <v>9</v>
      </c>
    </row>
    <row r="19" spans="1:1" ht="15" customHeight="1" x14ac:dyDescent="0.2">
      <c r="A19"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topLeftCell="A3" zoomScale="118" zoomScaleNormal="118" workbookViewId="0">
      <selection activeCell="C8" sqref="C8"/>
    </sheetView>
  </sheetViews>
  <sheetFormatPr baseColWidth="10" defaultColWidth="8.83203125" defaultRowHeight="15" x14ac:dyDescent="0.2"/>
  <cols>
    <col min="1" max="1" width="4" customWidth="1"/>
    <col min="2" max="2" width="55" customWidth="1"/>
    <col min="3" max="3" width="45" customWidth="1"/>
  </cols>
  <sheetData>
    <row r="1" spans="1:4" ht="18.75" customHeight="1" x14ac:dyDescent="0.25">
      <c r="A1" s="5" t="s">
        <v>11</v>
      </c>
    </row>
    <row r="3" spans="1:4" ht="60" customHeight="1" x14ac:dyDescent="0.2">
      <c r="A3" s="17" t="s">
        <v>12</v>
      </c>
      <c r="B3" s="17"/>
      <c r="C3" s="17"/>
      <c r="D3" s="17"/>
    </row>
    <row r="5" spans="1:4" ht="15.75" customHeight="1" x14ac:dyDescent="0.2">
      <c r="A5" s="6" t="s">
        <v>13</v>
      </c>
      <c r="B5" s="6" t="s">
        <v>14</v>
      </c>
      <c r="C5" s="6" t="s">
        <v>15</v>
      </c>
    </row>
    <row r="6" spans="1:4" ht="31.5" customHeight="1" x14ac:dyDescent="0.2">
      <c r="A6" s="7">
        <v>1</v>
      </c>
      <c r="B6" s="8" t="s">
        <v>16</v>
      </c>
      <c r="C6" s="8" t="s">
        <v>17</v>
      </c>
    </row>
    <row r="7" spans="1:4" ht="31.5" customHeight="1" x14ac:dyDescent="0.2">
      <c r="A7" s="7">
        <v>2</v>
      </c>
      <c r="B7" s="8" t="s">
        <v>18</v>
      </c>
      <c r="C7" s="8" t="s">
        <v>19</v>
      </c>
    </row>
    <row r="8" spans="1:4" ht="31.5" customHeight="1" x14ac:dyDescent="0.2">
      <c r="A8" s="7">
        <v>3</v>
      </c>
      <c r="B8" s="8" t="s">
        <v>20</v>
      </c>
      <c r="C8" s="8" t="s">
        <v>21</v>
      </c>
    </row>
    <row r="9" spans="1:4" ht="31.5" customHeight="1" x14ac:dyDescent="0.2">
      <c r="A9" s="7">
        <v>4</v>
      </c>
      <c r="B9" s="8" t="s">
        <v>22</v>
      </c>
      <c r="C9" s="8" t="s">
        <v>23</v>
      </c>
    </row>
    <row r="10" spans="1:4" ht="31.5" customHeight="1" x14ac:dyDescent="0.2">
      <c r="A10" s="7">
        <v>5</v>
      </c>
      <c r="B10" s="8" t="s">
        <v>24</v>
      </c>
      <c r="C10" s="8" t="s">
        <v>25</v>
      </c>
    </row>
    <row r="11" spans="1:4" ht="31.5" customHeight="1" x14ac:dyDescent="0.2">
      <c r="A11" s="7">
        <v>6</v>
      </c>
      <c r="B11" s="8" t="s">
        <v>26</v>
      </c>
      <c r="C11" s="8" t="s">
        <v>27</v>
      </c>
    </row>
    <row r="12" spans="1:4" ht="31.5" customHeight="1" x14ac:dyDescent="0.2">
      <c r="A12" s="7">
        <v>7</v>
      </c>
      <c r="B12" s="8" t="s">
        <v>28</v>
      </c>
      <c r="C12" s="8" t="s">
        <v>29</v>
      </c>
    </row>
    <row r="13" spans="1:4" ht="31.5" customHeight="1" x14ac:dyDescent="0.2">
      <c r="A13" s="7">
        <v>8</v>
      </c>
      <c r="B13" s="8" t="s">
        <v>30</v>
      </c>
      <c r="C13" s="8" t="s">
        <v>31</v>
      </c>
    </row>
    <row r="14" spans="1:4" ht="31.5" customHeight="1" x14ac:dyDescent="0.2">
      <c r="A14" s="7">
        <v>9</v>
      </c>
      <c r="B14" s="8" t="s">
        <v>32</v>
      </c>
      <c r="C14" s="8" t="s">
        <v>33</v>
      </c>
    </row>
    <row r="15" spans="1:4" ht="31.5" customHeight="1" x14ac:dyDescent="0.2">
      <c r="A15" s="7">
        <v>10</v>
      </c>
      <c r="B15" s="8" t="s">
        <v>34</v>
      </c>
      <c r="C15" s="8" t="s">
        <v>35</v>
      </c>
    </row>
    <row r="16" spans="1:4" ht="31.5" customHeight="1" x14ac:dyDescent="0.2">
      <c r="A16" s="7">
        <v>11</v>
      </c>
      <c r="B16" s="8" t="s">
        <v>36</v>
      </c>
      <c r="C16" s="8" t="s">
        <v>37</v>
      </c>
    </row>
    <row r="17" spans="1:3" ht="31.5" customHeight="1" x14ac:dyDescent="0.2">
      <c r="A17" s="7">
        <v>12</v>
      </c>
      <c r="B17" s="8" t="s">
        <v>38</v>
      </c>
      <c r="C17" s="8" t="s">
        <v>39</v>
      </c>
    </row>
    <row r="19" spans="1:3" ht="15" customHeight="1" x14ac:dyDescent="0.2">
      <c r="A19" s="4"/>
    </row>
  </sheetData>
  <mergeCells count="1">
    <mergeCell ref="A3:D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topLeftCell="A2" zoomScale="139" zoomScaleNormal="100" workbookViewId="0">
      <selection activeCell="C6" sqref="C6"/>
    </sheetView>
  </sheetViews>
  <sheetFormatPr baseColWidth="10" defaultColWidth="8.83203125" defaultRowHeight="15" x14ac:dyDescent="0.2"/>
  <cols>
    <col min="1" max="1" width="30" customWidth="1"/>
    <col min="2" max="2" width="55" customWidth="1"/>
    <col min="3" max="3" width="30" customWidth="1"/>
  </cols>
  <sheetData>
    <row r="1" spans="1:3" ht="18.75" customHeight="1" x14ac:dyDescent="0.25">
      <c r="A1" s="5" t="s">
        <v>40</v>
      </c>
    </row>
    <row r="3" spans="1:3" ht="15.75" customHeight="1" x14ac:dyDescent="0.2">
      <c r="A3" s="6" t="s">
        <v>14</v>
      </c>
      <c r="B3" s="6" t="s">
        <v>41</v>
      </c>
      <c r="C3" s="6" t="s">
        <v>42</v>
      </c>
    </row>
    <row r="4" spans="1:3" ht="69.75" customHeight="1" x14ac:dyDescent="0.2">
      <c r="A4" s="9" t="s">
        <v>22</v>
      </c>
      <c r="B4" s="10" t="s">
        <v>43</v>
      </c>
      <c r="C4" s="10" t="s">
        <v>44</v>
      </c>
    </row>
    <row r="5" spans="1:3" ht="69.75" customHeight="1" x14ac:dyDescent="0.2">
      <c r="A5" s="9" t="s">
        <v>24</v>
      </c>
      <c r="B5" s="10" t="s">
        <v>45</v>
      </c>
      <c r="C5" s="10" t="s">
        <v>46</v>
      </c>
    </row>
    <row r="6" spans="1:3" ht="69.75" customHeight="1" x14ac:dyDescent="0.2">
      <c r="A6" s="9" t="s">
        <v>32</v>
      </c>
      <c r="B6" s="10" t="s">
        <v>47</v>
      </c>
      <c r="C6" s="10" t="s">
        <v>48</v>
      </c>
    </row>
    <row r="7" spans="1:3" ht="69.75" customHeight="1" x14ac:dyDescent="0.2">
      <c r="A7" s="9" t="s">
        <v>34</v>
      </c>
      <c r="B7" s="10" t="s">
        <v>49</v>
      </c>
      <c r="C7" s="10" t="s">
        <v>48</v>
      </c>
    </row>
    <row r="8" spans="1:3" ht="69.75" customHeight="1" x14ac:dyDescent="0.2">
      <c r="A8" s="9" t="s">
        <v>38</v>
      </c>
      <c r="B8" s="10" t="s">
        <v>50</v>
      </c>
      <c r="C8" s="10" t="s">
        <v>51</v>
      </c>
    </row>
    <row r="10" spans="1:3" ht="15" customHeight="1" x14ac:dyDescent="0.2">
      <c r="A10" s="2" t="s">
        <v>52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topLeftCell="A2" zoomScaleNormal="100" workbookViewId="0">
      <selection activeCell="B5" sqref="B5:B11"/>
    </sheetView>
  </sheetViews>
  <sheetFormatPr baseColWidth="10" defaultColWidth="8.83203125" defaultRowHeight="15" x14ac:dyDescent="0.2"/>
  <cols>
    <col min="1" max="1" width="30" customWidth="1"/>
    <col min="2" max="2" width="40" customWidth="1"/>
    <col min="3" max="3" width="50" customWidth="1"/>
    <col min="4" max="4" width="35" customWidth="1"/>
  </cols>
  <sheetData>
    <row r="1" spans="1:4" ht="18.75" customHeight="1" x14ac:dyDescent="0.25">
      <c r="A1" s="5" t="s">
        <v>53</v>
      </c>
    </row>
    <row r="2" spans="1:4" ht="54.75" customHeight="1" x14ac:dyDescent="0.2">
      <c r="A2" s="17" t="s">
        <v>54</v>
      </c>
      <c r="B2" s="17"/>
      <c r="C2" s="17"/>
      <c r="D2" s="17"/>
    </row>
    <row r="4" spans="1:4" ht="15.75" customHeight="1" x14ac:dyDescent="0.2">
      <c r="A4" s="6" t="s">
        <v>55</v>
      </c>
      <c r="B4" s="6" t="s">
        <v>56</v>
      </c>
      <c r="C4" s="6" t="s">
        <v>57</v>
      </c>
      <c r="D4" s="6" t="s">
        <v>58</v>
      </c>
    </row>
    <row r="5" spans="1:4" ht="69.75" customHeight="1" x14ac:dyDescent="0.2">
      <c r="A5" s="7" t="s">
        <v>16</v>
      </c>
      <c r="B5" s="8" t="s">
        <v>59</v>
      </c>
      <c r="C5" s="8" t="s">
        <v>60</v>
      </c>
      <c r="D5" s="8" t="s">
        <v>61</v>
      </c>
    </row>
    <row r="6" spans="1:4" ht="69.75" customHeight="1" x14ac:dyDescent="0.2">
      <c r="A6" s="7" t="s">
        <v>18</v>
      </c>
      <c r="B6" s="8" t="s">
        <v>62</v>
      </c>
      <c r="C6" s="8" t="s">
        <v>63</v>
      </c>
      <c r="D6" s="8" t="s">
        <v>61</v>
      </c>
    </row>
    <row r="7" spans="1:4" ht="69.75" customHeight="1" x14ac:dyDescent="0.2">
      <c r="A7" s="7" t="s">
        <v>20</v>
      </c>
      <c r="B7" s="8" t="s">
        <v>64</v>
      </c>
      <c r="C7" s="8" t="s">
        <v>65</v>
      </c>
      <c r="D7" s="8" t="s">
        <v>61</v>
      </c>
    </row>
    <row r="8" spans="1:4" ht="69.75" customHeight="1" x14ac:dyDescent="0.2">
      <c r="A8" s="7" t="s">
        <v>26</v>
      </c>
      <c r="B8" s="8" t="s">
        <v>66</v>
      </c>
      <c r="C8" s="8" t="s">
        <v>67</v>
      </c>
      <c r="D8" s="8" t="s">
        <v>61</v>
      </c>
    </row>
    <row r="9" spans="1:4" ht="69.75" customHeight="1" x14ac:dyDescent="0.2">
      <c r="A9" s="7" t="s">
        <v>68</v>
      </c>
      <c r="B9" s="8" t="s">
        <v>69</v>
      </c>
      <c r="C9" s="8" t="s">
        <v>70</v>
      </c>
      <c r="D9" s="8" t="s">
        <v>61</v>
      </c>
    </row>
    <row r="10" spans="1:4" ht="69.75" customHeight="1" x14ac:dyDescent="0.2">
      <c r="A10" s="7" t="s">
        <v>71</v>
      </c>
      <c r="B10" s="8" t="s">
        <v>72</v>
      </c>
      <c r="C10" s="8" t="s">
        <v>73</v>
      </c>
      <c r="D10" s="8" t="s">
        <v>61</v>
      </c>
    </row>
    <row r="11" spans="1:4" ht="69.75" customHeight="1" x14ac:dyDescent="0.2">
      <c r="A11" s="7" t="s">
        <v>36</v>
      </c>
      <c r="B11" s="8" t="s">
        <v>74</v>
      </c>
      <c r="C11" s="8" t="s">
        <v>75</v>
      </c>
      <c r="D11" s="8" t="s">
        <v>61</v>
      </c>
    </row>
  </sheetData>
  <mergeCells count="1">
    <mergeCell ref="A2: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topLeftCell="A3" zoomScaleNormal="100" workbookViewId="0">
      <selection activeCell="B5" sqref="B5:F11"/>
    </sheetView>
  </sheetViews>
  <sheetFormatPr baseColWidth="10" defaultColWidth="8.83203125" defaultRowHeight="15" x14ac:dyDescent="0.2"/>
  <cols>
    <col min="1" max="1" width="34" customWidth="1"/>
    <col min="2" max="6" width="16" customWidth="1"/>
    <col min="7" max="7" width="13" customWidth="1"/>
  </cols>
  <sheetData>
    <row r="1" spans="1:7" ht="18.75" customHeight="1" x14ac:dyDescent="0.25">
      <c r="A1" s="5" t="s">
        <v>76</v>
      </c>
    </row>
    <row r="2" spans="1:7" ht="39.75" customHeight="1" x14ac:dyDescent="0.2">
      <c r="A2" s="1" t="s">
        <v>77</v>
      </c>
    </row>
    <row r="4" spans="1:7" ht="73" customHeight="1" x14ac:dyDescent="0.2">
      <c r="A4" s="6" t="s">
        <v>78</v>
      </c>
      <c r="B4" s="6" t="s">
        <v>79</v>
      </c>
      <c r="C4" s="6" t="s">
        <v>80</v>
      </c>
      <c r="D4" s="6" t="s">
        <v>81</v>
      </c>
      <c r="E4" s="6" t="s">
        <v>82</v>
      </c>
      <c r="F4" s="6" t="s">
        <v>83</v>
      </c>
      <c r="G4" s="6" t="s">
        <v>84</v>
      </c>
    </row>
    <row r="5" spans="1:7" ht="54.75" customHeight="1" x14ac:dyDescent="0.2">
      <c r="A5" s="7" t="s">
        <v>16</v>
      </c>
      <c r="B5" s="7">
        <v>5</v>
      </c>
      <c r="C5" s="7">
        <v>5</v>
      </c>
      <c r="D5" s="7">
        <v>5</v>
      </c>
      <c r="E5" s="7">
        <v>5</v>
      </c>
      <c r="F5" s="7">
        <v>5</v>
      </c>
      <c r="G5" s="11">
        <f t="shared" ref="G5:G11" si="0">AVERAGE(B5:F5)</f>
        <v>5</v>
      </c>
    </row>
    <row r="6" spans="1:7" ht="54.75" customHeight="1" x14ac:dyDescent="0.2">
      <c r="A6" s="7" t="s">
        <v>18</v>
      </c>
      <c r="B6" s="7">
        <v>5</v>
      </c>
      <c r="C6" s="7">
        <v>5</v>
      </c>
      <c r="D6" s="7">
        <v>4</v>
      </c>
      <c r="E6" s="7">
        <v>5</v>
      </c>
      <c r="F6" s="7">
        <v>5</v>
      </c>
      <c r="G6" s="11">
        <f t="shared" si="0"/>
        <v>4.8</v>
      </c>
    </row>
    <row r="7" spans="1:7" ht="54.75" customHeight="1" x14ac:dyDescent="0.2">
      <c r="A7" s="7" t="s">
        <v>20</v>
      </c>
      <c r="B7" s="7">
        <v>4</v>
      </c>
      <c r="C7" s="7">
        <v>4</v>
      </c>
      <c r="D7" s="7">
        <v>5</v>
      </c>
      <c r="E7" s="7">
        <v>5</v>
      </c>
      <c r="F7" s="7">
        <v>4</v>
      </c>
      <c r="G7" s="11">
        <f t="shared" si="0"/>
        <v>4.4000000000000004</v>
      </c>
    </row>
    <row r="8" spans="1:7" ht="54.75" customHeight="1" x14ac:dyDescent="0.2">
      <c r="A8" s="7" t="s">
        <v>26</v>
      </c>
      <c r="B8" s="7">
        <v>4</v>
      </c>
      <c r="C8" s="7">
        <v>4</v>
      </c>
      <c r="D8" s="7">
        <v>4</v>
      </c>
      <c r="E8" s="7">
        <v>4</v>
      </c>
      <c r="F8" s="7">
        <v>5</v>
      </c>
      <c r="G8" s="11">
        <f t="shared" si="0"/>
        <v>4.2</v>
      </c>
    </row>
    <row r="9" spans="1:7" ht="54.75" customHeight="1" x14ac:dyDescent="0.2">
      <c r="A9" s="7" t="s">
        <v>68</v>
      </c>
      <c r="B9" s="7">
        <v>4</v>
      </c>
      <c r="C9" s="7">
        <v>4</v>
      </c>
      <c r="D9" s="7">
        <v>3</v>
      </c>
      <c r="E9" s="7">
        <v>5</v>
      </c>
      <c r="F9" s="7">
        <v>3</v>
      </c>
      <c r="G9" s="11">
        <f t="shared" si="0"/>
        <v>3.8</v>
      </c>
    </row>
    <row r="10" spans="1:7" ht="54.75" customHeight="1" x14ac:dyDescent="0.2">
      <c r="A10" s="7" t="s">
        <v>71</v>
      </c>
      <c r="B10" s="7">
        <v>3</v>
      </c>
      <c r="C10" s="7">
        <v>3</v>
      </c>
      <c r="D10" s="7">
        <v>4</v>
      </c>
      <c r="E10" s="7">
        <v>5</v>
      </c>
      <c r="F10" s="7">
        <v>5</v>
      </c>
      <c r="G10" s="11">
        <f t="shared" si="0"/>
        <v>4</v>
      </c>
    </row>
    <row r="11" spans="1:7" ht="54.75" customHeight="1" x14ac:dyDescent="0.2">
      <c r="A11" s="7" t="s">
        <v>36</v>
      </c>
      <c r="B11" s="7">
        <v>2</v>
      </c>
      <c r="C11" s="7">
        <v>2</v>
      </c>
      <c r="D11" s="7">
        <v>3</v>
      </c>
      <c r="E11" s="7">
        <v>4</v>
      </c>
      <c r="F11" s="7">
        <v>3</v>
      </c>
      <c r="G11" s="11">
        <f t="shared" si="0"/>
        <v>2.8</v>
      </c>
    </row>
    <row r="13" spans="1:7" ht="30" customHeight="1" x14ac:dyDescent="0.2">
      <c r="A13" s="18" t="s">
        <v>85</v>
      </c>
      <c r="B13" s="18"/>
      <c r="C13" s="18"/>
      <c r="D13" s="18"/>
      <c r="E13" s="18"/>
      <c r="F13" s="18"/>
      <c r="G13" s="18"/>
    </row>
  </sheetData>
  <mergeCells count="1">
    <mergeCell ref="A13:G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topLeftCell="A13" zoomScaleNormal="100" workbookViewId="0"/>
  </sheetViews>
  <sheetFormatPr baseColWidth="10" defaultColWidth="8.83203125" defaultRowHeight="15" x14ac:dyDescent="0.2"/>
  <cols>
    <col min="1" max="1" width="32" customWidth="1"/>
    <col min="2" max="2" width="14" customWidth="1"/>
    <col min="3" max="3" width="70" customWidth="1"/>
  </cols>
  <sheetData>
    <row r="1" spans="1:3" ht="18.75" customHeight="1" x14ac:dyDescent="0.25">
      <c r="A1" s="5" t="s">
        <v>86</v>
      </c>
    </row>
    <row r="3" spans="1:3" ht="15" customHeight="1" x14ac:dyDescent="0.2">
      <c r="A3" s="2" t="s">
        <v>87</v>
      </c>
    </row>
    <row r="4" spans="1:3" ht="15.75" customHeight="1" x14ac:dyDescent="0.2">
      <c r="A4" s="6" t="s">
        <v>78</v>
      </c>
      <c r="B4" s="6" t="s">
        <v>84</v>
      </c>
      <c r="C4" s="6" t="s">
        <v>88</v>
      </c>
    </row>
    <row r="5" spans="1:3" ht="45" customHeight="1" x14ac:dyDescent="0.2">
      <c r="A5" s="12" t="s">
        <v>16</v>
      </c>
      <c r="B5" s="13">
        <f>('Ejemplo 4. Panel de importancia'!G5)</f>
        <v>5</v>
      </c>
      <c r="C5" s="14" t="s">
        <v>89</v>
      </c>
    </row>
    <row r="6" spans="1:3" ht="45" customHeight="1" x14ac:dyDescent="0.2">
      <c r="A6" s="12" t="s">
        <v>18</v>
      </c>
      <c r="B6" s="13">
        <f>('Ejemplo 4. Panel de importancia'!G6)</f>
        <v>4.8</v>
      </c>
      <c r="C6" s="14" t="s">
        <v>90</v>
      </c>
    </row>
    <row r="7" spans="1:3" ht="45" customHeight="1" x14ac:dyDescent="0.2">
      <c r="A7" s="12" t="s">
        <v>20</v>
      </c>
      <c r="B7" s="13">
        <f>('Ejemplo 4. Panel de importancia'!G7)</f>
        <v>4.4000000000000004</v>
      </c>
      <c r="C7" s="14" t="s">
        <v>91</v>
      </c>
    </row>
    <row r="8" spans="1:3" ht="45" customHeight="1" x14ac:dyDescent="0.2">
      <c r="A8" s="12" t="s">
        <v>26</v>
      </c>
      <c r="B8" s="13">
        <f>('Ejemplo 4. Panel de importancia'!G8)</f>
        <v>4.2</v>
      </c>
      <c r="C8" s="14" t="s">
        <v>92</v>
      </c>
    </row>
    <row r="9" spans="1:3" ht="45" customHeight="1" x14ac:dyDescent="0.2">
      <c r="A9" s="12" t="s">
        <v>71</v>
      </c>
      <c r="B9" s="13">
        <f>('Ejemplo 4. Panel de importancia'!G10)</f>
        <v>4</v>
      </c>
      <c r="C9" s="14" t="s">
        <v>93</v>
      </c>
    </row>
    <row r="11" spans="1:3" ht="15.75" customHeight="1" x14ac:dyDescent="0.2">
      <c r="A11" s="2" t="s">
        <v>94</v>
      </c>
    </row>
    <row r="12" spans="1:3" ht="45" customHeight="1" x14ac:dyDescent="0.2">
      <c r="A12" s="6" t="s">
        <v>78</v>
      </c>
      <c r="B12" s="6" t="s">
        <v>84</v>
      </c>
      <c r="C12" s="6" t="s">
        <v>95</v>
      </c>
    </row>
    <row r="13" spans="1:3" ht="27.75" customHeight="1" x14ac:dyDescent="0.2">
      <c r="A13" s="7" t="s">
        <v>68</v>
      </c>
      <c r="B13" s="11">
        <f>('Ejemplo 4. Panel de importancia'!G9)</f>
        <v>3.8</v>
      </c>
      <c r="C13" s="8" t="s">
        <v>96</v>
      </c>
    </row>
    <row r="16" spans="1:3" ht="31.5" customHeight="1" x14ac:dyDescent="0.2">
      <c r="A16" s="2" t="s">
        <v>97</v>
      </c>
    </row>
    <row r="17" spans="1:3" ht="45" customHeight="1" x14ac:dyDescent="0.2">
      <c r="A17" s="6" t="s">
        <v>78</v>
      </c>
      <c r="B17" s="6" t="s">
        <v>98</v>
      </c>
      <c r="C17" s="6" t="s">
        <v>99</v>
      </c>
    </row>
    <row r="18" spans="1:3" ht="45" customHeight="1" x14ac:dyDescent="0.2">
      <c r="A18" s="9" t="s">
        <v>36</v>
      </c>
      <c r="B18" s="9" t="s">
        <v>100</v>
      </c>
      <c r="C18" s="10" t="s">
        <v>101</v>
      </c>
    </row>
    <row r="19" spans="1:3" ht="45" customHeight="1" x14ac:dyDescent="0.2">
      <c r="A19" s="9" t="s">
        <v>22</v>
      </c>
      <c r="B19" s="9" t="s">
        <v>102</v>
      </c>
      <c r="C19" s="10" t="s">
        <v>103</v>
      </c>
    </row>
    <row r="20" spans="1:3" ht="45" customHeight="1" x14ac:dyDescent="0.2">
      <c r="A20" s="9" t="s">
        <v>24</v>
      </c>
      <c r="B20" s="9" t="s">
        <v>102</v>
      </c>
      <c r="C20" s="10" t="s">
        <v>104</v>
      </c>
    </row>
    <row r="21" spans="1:3" ht="45" customHeight="1" x14ac:dyDescent="0.2">
      <c r="A21" s="9" t="s">
        <v>32</v>
      </c>
      <c r="B21" s="9" t="s">
        <v>102</v>
      </c>
      <c r="C21" s="10" t="s">
        <v>105</v>
      </c>
    </row>
    <row r="22" spans="1:3" ht="15" customHeight="1" x14ac:dyDescent="0.2">
      <c r="A22" s="9" t="s">
        <v>34</v>
      </c>
      <c r="B22" s="9" t="s">
        <v>102</v>
      </c>
      <c r="C22" s="10" t="s">
        <v>106</v>
      </c>
    </row>
    <row r="23" spans="1:3" ht="15" customHeight="1" x14ac:dyDescent="0.2">
      <c r="A23" s="9" t="s">
        <v>38</v>
      </c>
      <c r="B23" s="9" t="s">
        <v>102</v>
      </c>
      <c r="C23" s="10" t="s">
        <v>107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tabSelected="1" topLeftCell="A3" zoomScale="150" zoomScaleNormal="100" workbookViewId="0">
      <selection activeCell="G9" sqref="G9"/>
    </sheetView>
  </sheetViews>
  <sheetFormatPr baseColWidth="10" defaultColWidth="8.83203125" defaultRowHeight="15" x14ac:dyDescent="0.2"/>
  <cols>
    <col min="1" max="1" width="50.6640625" customWidth="1"/>
    <col min="2" max="2" width="32.6640625" customWidth="1"/>
  </cols>
  <sheetData>
    <row r="1" spans="1:7" ht="15" customHeight="1" x14ac:dyDescent="0.2">
      <c r="B1" s="2" t="s">
        <v>108</v>
      </c>
    </row>
    <row r="2" spans="1:7" ht="144" customHeight="1" x14ac:dyDescent="0.2">
      <c r="B2" s="16" t="s">
        <v>109</v>
      </c>
      <c r="C2" s="16"/>
      <c r="D2" s="16"/>
      <c r="E2" s="16"/>
      <c r="F2" s="16"/>
      <c r="G2" s="16"/>
    </row>
    <row r="4" spans="1:7" ht="31.5" customHeight="1" x14ac:dyDescent="0.2">
      <c r="B4" s="19" t="s">
        <v>78</v>
      </c>
      <c r="C4" s="19" t="s">
        <v>110</v>
      </c>
      <c r="D4" s="19" t="s">
        <v>111</v>
      </c>
      <c r="E4" s="19" t="s">
        <v>112</v>
      </c>
      <c r="F4" s="19" t="s">
        <v>123</v>
      </c>
      <c r="G4" s="19" t="s">
        <v>84</v>
      </c>
    </row>
    <row r="5" spans="1:7" ht="44" customHeight="1" x14ac:dyDescent="0.2">
      <c r="A5" s="15" t="s">
        <v>121</v>
      </c>
      <c r="B5" s="21" t="s">
        <v>16</v>
      </c>
      <c r="C5" s="21">
        <v>5</v>
      </c>
      <c r="D5" s="21">
        <v>5</v>
      </c>
      <c r="E5" s="21">
        <v>5</v>
      </c>
      <c r="F5" s="21">
        <v>5</v>
      </c>
      <c r="G5" s="21">
        <f t="shared" ref="G5:G11" si="0">IFERROR(AVERAGE(C5:F5),"")</f>
        <v>5</v>
      </c>
    </row>
    <row r="6" spans="1:7" ht="28" customHeight="1" x14ac:dyDescent="0.2">
      <c r="A6" s="15" t="s">
        <v>122</v>
      </c>
      <c r="B6" s="21" t="s">
        <v>18</v>
      </c>
      <c r="C6" s="21">
        <v>4</v>
      </c>
      <c r="D6" s="21">
        <v>4.5</v>
      </c>
      <c r="E6" s="21">
        <v>5</v>
      </c>
      <c r="F6" s="21">
        <v>5</v>
      </c>
      <c r="G6" s="21">
        <f t="shared" si="0"/>
        <v>4.625</v>
      </c>
    </row>
    <row r="7" spans="1:7" ht="47" customHeight="1" x14ac:dyDescent="0.2">
      <c r="A7" s="15" t="s">
        <v>116</v>
      </c>
      <c r="B7" s="22" t="s">
        <v>20</v>
      </c>
      <c r="C7" s="21">
        <v>2</v>
      </c>
      <c r="D7" s="21">
        <v>3</v>
      </c>
      <c r="E7" s="21">
        <v>3</v>
      </c>
      <c r="F7" s="21">
        <v>3</v>
      </c>
      <c r="G7" s="21">
        <f t="shared" si="0"/>
        <v>2.75</v>
      </c>
    </row>
    <row r="8" spans="1:7" ht="30" customHeight="1" x14ac:dyDescent="0.2">
      <c r="A8" s="15" t="s">
        <v>117</v>
      </c>
      <c r="B8" s="21" t="s">
        <v>26</v>
      </c>
      <c r="C8" s="21">
        <v>4</v>
      </c>
      <c r="D8" s="21">
        <v>4.8</v>
      </c>
      <c r="E8" s="21">
        <v>4</v>
      </c>
      <c r="F8" s="21">
        <v>4</v>
      </c>
      <c r="G8" s="21">
        <f t="shared" si="0"/>
        <v>4.2</v>
      </c>
    </row>
    <row r="9" spans="1:7" ht="29" customHeight="1" x14ac:dyDescent="0.2">
      <c r="A9" s="15" t="s">
        <v>118</v>
      </c>
      <c r="B9" s="22" t="s">
        <v>68</v>
      </c>
      <c r="C9" s="21">
        <v>3</v>
      </c>
      <c r="D9" s="21">
        <v>4.5</v>
      </c>
      <c r="E9" s="21">
        <v>4</v>
      </c>
      <c r="F9" s="21">
        <v>5</v>
      </c>
      <c r="G9" s="21">
        <f t="shared" si="0"/>
        <v>4.125</v>
      </c>
    </row>
    <row r="10" spans="1:7" ht="63" customHeight="1" x14ac:dyDescent="0.2">
      <c r="A10" s="15" t="s">
        <v>119</v>
      </c>
      <c r="B10" s="21" t="s">
        <v>71</v>
      </c>
      <c r="C10" s="21">
        <v>4</v>
      </c>
      <c r="D10" s="21">
        <v>4.5999999999999996</v>
      </c>
      <c r="E10" s="21">
        <v>5</v>
      </c>
      <c r="F10" s="21">
        <v>4</v>
      </c>
      <c r="G10" s="21">
        <f t="shared" si="0"/>
        <v>4.4000000000000004</v>
      </c>
    </row>
    <row r="11" spans="1:7" ht="50" customHeight="1" x14ac:dyDescent="0.2">
      <c r="A11" s="15"/>
      <c r="B11" s="20"/>
      <c r="C11" s="20"/>
      <c r="D11" s="20"/>
      <c r="E11" s="20"/>
      <c r="F11" s="20"/>
      <c r="G11" s="20" t="str">
        <f t="shared" si="0"/>
        <v/>
      </c>
    </row>
  </sheetData>
  <mergeCells count="1">
    <mergeCell ref="B2:G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988B-34BF-A145-B3CC-6C80659DAC8C}">
  <dimension ref="A1:A9"/>
  <sheetViews>
    <sheetView topLeftCell="A3" workbookViewId="0">
      <selection activeCell="A3" sqref="A3:A9"/>
    </sheetView>
  </sheetViews>
  <sheetFormatPr baseColWidth="10" defaultRowHeight="15" x14ac:dyDescent="0.2"/>
  <cols>
    <col min="1" max="1" width="108.33203125" customWidth="1"/>
  </cols>
  <sheetData>
    <row r="1" spans="1:1" ht="16" x14ac:dyDescent="0.2">
      <c r="A1" s="4" t="s">
        <v>113</v>
      </c>
    </row>
    <row r="2" spans="1:1" x14ac:dyDescent="0.2">
      <c r="A2" s="4"/>
    </row>
    <row r="3" spans="1:1" ht="32" x14ac:dyDescent="0.2">
      <c r="A3" s="15" t="s">
        <v>114</v>
      </c>
    </row>
    <row r="4" spans="1:1" ht="32" x14ac:dyDescent="0.2">
      <c r="A4" s="15" t="s">
        <v>115</v>
      </c>
    </row>
    <row r="5" spans="1:1" ht="32" x14ac:dyDescent="0.2">
      <c r="A5" s="15" t="s">
        <v>116</v>
      </c>
    </row>
    <row r="6" spans="1:1" ht="32" x14ac:dyDescent="0.2">
      <c r="A6" s="15" t="s">
        <v>117</v>
      </c>
    </row>
    <row r="7" spans="1:1" ht="32" x14ac:dyDescent="0.2">
      <c r="A7" s="15" t="s">
        <v>118</v>
      </c>
    </row>
    <row r="8" spans="1:1" ht="32" x14ac:dyDescent="0.2">
      <c r="A8" s="15" t="s">
        <v>119</v>
      </c>
    </row>
    <row r="9" spans="1:1" ht="32" x14ac:dyDescent="0.2">
      <c r="A9" s="15"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Instrucciones</vt:lpstr>
      <vt:lpstr>Ejemplo 1. Lluvia de ideas</vt:lpstr>
      <vt:lpstr>Ejemplo 2. Tamizaje</vt:lpstr>
      <vt:lpstr>Ejemplo 3. Independencia</vt:lpstr>
      <vt:lpstr>Ejemplo 4. Panel de importancia</vt:lpstr>
      <vt:lpstr>Ejemplo 5. Resultado final</vt:lpstr>
      <vt:lpstr>Plantilla en blanco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HAROLD DAVID HERNANDEZ SOLORZANO</cp:lastModifiedBy>
  <cp:revision>0</cp:revision>
  <dcterms:created xsi:type="dcterms:W3CDTF">2026-09-07T04:14:06Z</dcterms:created>
  <dcterms:modified xsi:type="dcterms:W3CDTF">2026-09-19T16:27:44Z</dcterms:modified>
  <dc:language>en-US</dc:language>
</cp:coreProperties>
</file>