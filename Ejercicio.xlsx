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https://universidadmag-my.sharepoint.com/personal/haroldhernandezds_unimagdalena_edu_co/Documents/MAESTRIA EN INGENIERIA/TOMA DE DECISIONES/"/>
    </mc:Choice>
  </mc:AlternateContent>
  <xr:revisionPtr revIDLastSave="100" documentId="8_{6B340288-B577-F24C-B20C-EAFEBD59B193}" xr6:coauthVersionLast="47" xr6:coauthVersionMax="47" xr10:uidLastSave="{981ADEE8-4B78-784C-AEDB-ECAE37A53C03}"/>
  <bookViews>
    <workbookView xWindow="0" yWindow="660" windowWidth="29400" windowHeight="16860" xr2:uid="{00000000-000D-0000-FFFF-FFFF00000000}"/>
  </bookViews>
  <sheets>
    <sheet name="Notas" sheetId="1" r:id="rId1"/>
    <sheet name="Criterios" sheetId="2" r:id="rId2"/>
    <sheet name="Alcance" sheetId="3" r:id="rId3"/>
    <sheet name="Autonomía" sheetId="4" r:id="rId4"/>
    <sheet name="Infraestructura" sheetId="5" r:id="rId5"/>
    <sheet name="Madurez" sheetId="6" r:id="rId6"/>
    <sheet name="Síntesis" sheetId="7" r:id="rId7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2" l="1"/>
  <c r="E15" i="2"/>
  <c r="D15" i="2"/>
  <c r="D14" i="2"/>
  <c r="C15" i="2"/>
  <c r="B15" i="2"/>
  <c r="F6" i="2"/>
  <c r="E7" i="2" s="1"/>
  <c r="F5" i="2"/>
  <c r="D7" i="2" s="1"/>
  <c r="F4" i="2"/>
  <c r="C7" i="2" s="1"/>
  <c r="F3" i="2"/>
  <c r="E52" i="2"/>
  <c r="D52" i="2"/>
  <c r="C52" i="2"/>
  <c r="B52" i="2"/>
  <c r="E44" i="2"/>
  <c r="D44" i="2"/>
  <c r="C44" i="2"/>
  <c r="B44" i="2"/>
  <c r="E36" i="2"/>
  <c r="D36" i="2"/>
  <c r="C36" i="2"/>
  <c r="B36" i="2"/>
  <c r="C50" i="2"/>
  <c r="B33" i="2"/>
  <c r="B34" i="2"/>
  <c r="B41" i="2"/>
  <c r="B42" i="2"/>
  <c r="D49" i="6"/>
  <c r="C49" i="6"/>
  <c r="B49" i="6"/>
  <c r="C48" i="6"/>
  <c r="B48" i="6"/>
  <c r="B47" i="6"/>
  <c r="D41" i="6"/>
  <c r="C41" i="6"/>
  <c r="B41" i="6"/>
  <c r="C40" i="6"/>
  <c r="B40" i="6"/>
  <c r="B39" i="6"/>
  <c r="D33" i="6"/>
  <c r="C33" i="6"/>
  <c r="B33" i="6"/>
  <c r="C32" i="6"/>
  <c r="B32" i="6"/>
  <c r="B31" i="6"/>
  <c r="E5" i="6"/>
  <c r="C5" i="6"/>
  <c r="E4" i="6"/>
  <c r="C6" i="6" s="1"/>
  <c r="D4" i="6"/>
  <c r="E3" i="6"/>
  <c r="E7" i="6" s="1"/>
  <c r="E13" i="6" s="1"/>
  <c r="D3" i="6"/>
  <c r="C3" i="6"/>
  <c r="D49" i="5"/>
  <c r="C49" i="5"/>
  <c r="B49" i="5"/>
  <c r="C48" i="5"/>
  <c r="B48" i="5"/>
  <c r="B47" i="5"/>
  <c r="D41" i="5"/>
  <c r="C41" i="5"/>
  <c r="B41" i="5"/>
  <c r="C40" i="5"/>
  <c r="B40" i="5"/>
  <c r="B39" i="5"/>
  <c r="D33" i="5"/>
  <c r="C33" i="5"/>
  <c r="B33" i="5"/>
  <c r="C32" i="5"/>
  <c r="B32" i="5"/>
  <c r="B31" i="5"/>
  <c r="D6" i="5"/>
  <c r="C6" i="5"/>
  <c r="B6" i="5"/>
  <c r="E5" i="5"/>
  <c r="E12" i="5" s="1"/>
  <c r="B5" i="5"/>
  <c r="E4" i="5"/>
  <c r="D4" i="5"/>
  <c r="B4" i="5"/>
  <c r="E3" i="5"/>
  <c r="E7" i="5" s="1"/>
  <c r="D3" i="5"/>
  <c r="C3" i="5"/>
  <c r="D49" i="4"/>
  <c r="C49" i="4"/>
  <c r="B49" i="4"/>
  <c r="C48" i="4"/>
  <c r="B48" i="4"/>
  <c r="B47" i="4"/>
  <c r="D41" i="4"/>
  <c r="C41" i="4"/>
  <c r="B41" i="4"/>
  <c r="C40" i="4"/>
  <c r="B40" i="4"/>
  <c r="B39" i="4"/>
  <c r="D33" i="4"/>
  <c r="C33" i="4"/>
  <c r="B33" i="4"/>
  <c r="C32" i="4"/>
  <c r="B32" i="4"/>
  <c r="B31" i="4"/>
  <c r="E5" i="4"/>
  <c r="D6" i="4" s="1"/>
  <c r="B5" i="4"/>
  <c r="E4" i="4"/>
  <c r="C6" i="4" s="1"/>
  <c r="D4" i="4"/>
  <c r="E3" i="4"/>
  <c r="B6" i="4" s="1"/>
  <c r="D3" i="4"/>
  <c r="C3" i="4"/>
  <c r="D49" i="3"/>
  <c r="C49" i="3"/>
  <c r="B49" i="3"/>
  <c r="C48" i="3"/>
  <c r="B48" i="3"/>
  <c r="B47" i="3"/>
  <c r="D41" i="3"/>
  <c r="C41" i="3"/>
  <c r="B41" i="3"/>
  <c r="C40" i="3"/>
  <c r="B40" i="3"/>
  <c r="B39" i="3"/>
  <c r="D33" i="3"/>
  <c r="C33" i="3"/>
  <c r="B33" i="3"/>
  <c r="C32" i="3"/>
  <c r="B32" i="3"/>
  <c r="B31" i="3"/>
  <c r="C6" i="3"/>
  <c r="E5" i="3"/>
  <c r="D6" i="3" s="1"/>
  <c r="C5" i="3"/>
  <c r="E4" i="3"/>
  <c r="D4" i="3"/>
  <c r="E3" i="3"/>
  <c r="D3" i="3"/>
  <c r="D7" i="3" s="1"/>
  <c r="C3" i="3"/>
  <c r="B4" i="3" s="1"/>
  <c r="E57" i="2"/>
  <c r="D57" i="2"/>
  <c r="C57" i="2"/>
  <c r="B57" i="2"/>
  <c r="D51" i="2"/>
  <c r="C51" i="2"/>
  <c r="B51" i="2"/>
  <c r="B50" i="2"/>
  <c r="B49" i="2"/>
  <c r="D43" i="2"/>
  <c r="C43" i="2"/>
  <c r="B43" i="2"/>
  <c r="C42" i="2"/>
  <c r="D35" i="2"/>
  <c r="C35" i="2"/>
  <c r="B35" i="2"/>
  <c r="C34" i="2"/>
  <c r="E5" i="2"/>
  <c r="D6" i="2" s="1"/>
  <c r="E4" i="2"/>
  <c r="C6" i="2" s="1"/>
  <c r="D4" i="2"/>
  <c r="C5" i="2" s="1"/>
  <c r="E3" i="2"/>
  <c r="D3" i="2"/>
  <c r="B5" i="2" s="1"/>
  <c r="C3" i="2"/>
  <c r="B7" i="2" l="1"/>
  <c r="F8" i="2"/>
  <c r="E8" i="2"/>
  <c r="B6" i="2"/>
  <c r="E58" i="2" s="1"/>
  <c r="B58" i="2"/>
  <c r="C13" i="6"/>
  <c r="D12" i="3"/>
  <c r="D11" i="3"/>
  <c r="D10" i="3"/>
  <c r="D13" i="5"/>
  <c r="D10" i="5"/>
  <c r="E10" i="5"/>
  <c r="E13" i="5"/>
  <c r="E12" i="6"/>
  <c r="D13" i="3"/>
  <c r="D11" i="5"/>
  <c r="D8" i="2"/>
  <c r="C12" i="6"/>
  <c r="D13" i="4"/>
  <c r="D7" i="4"/>
  <c r="E11" i="5"/>
  <c r="C7" i="6"/>
  <c r="C11" i="6" s="1"/>
  <c r="C7" i="3"/>
  <c r="C12" i="3" s="1"/>
  <c r="B4" i="4"/>
  <c r="C8" i="2"/>
  <c r="B5" i="3"/>
  <c r="B7" i="3" s="1"/>
  <c r="E11" i="6"/>
  <c r="E7" i="3"/>
  <c r="E10" i="3" s="1"/>
  <c r="B6" i="6"/>
  <c r="C10" i="6"/>
  <c r="B7" i="5"/>
  <c r="B10" i="5" s="1"/>
  <c r="D58" i="2"/>
  <c r="B6" i="3"/>
  <c r="C10" i="3"/>
  <c r="C5" i="4"/>
  <c r="E7" i="4"/>
  <c r="B4" i="6"/>
  <c r="D6" i="6"/>
  <c r="D7" i="6" s="1"/>
  <c r="E10" i="6"/>
  <c r="D7" i="5"/>
  <c r="D12" i="5" s="1"/>
  <c r="C5" i="5"/>
  <c r="C7" i="5" s="1"/>
  <c r="B4" i="2"/>
  <c r="B5" i="6"/>
  <c r="E11" i="2" l="1"/>
  <c r="E14" i="2"/>
  <c r="E12" i="2"/>
  <c r="E13" i="2"/>
  <c r="C10" i="5"/>
  <c r="C11" i="5"/>
  <c r="C13" i="5"/>
  <c r="B10" i="3"/>
  <c r="F10" i="3" s="1"/>
  <c r="B11" i="3"/>
  <c r="D11" i="6"/>
  <c r="D12" i="6"/>
  <c r="D10" i="6"/>
  <c r="C14" i="2"/>
  <c r="C12" i="2"/>
  <c r="D10" i="4"/>
  <c r="D12" i="4"/>
  <c r="D12" i="2"/>
  <c r="D13" i="2"/>
  <c r="D11" i="4"/>
  <c r="B13" i="5"/>
  <c r="F13" i="5" s="1"/>
  <c r="D7" i="7" s="1"/>
  <c r="C13" i="2"/>
  <c r="C58" i="2"/>
  <c r="E59" i="2" s="1"/>
  <c r="B8" i="2"/>
  <c r="B12" i="2" s="1"/>
  <c r="F12" i="2" s="1"/>
  <c r="B11" i="6"/>
  <c r="B7" i="6"/>
  <c r="B10" i="6" s="1"/>
  <c r="B11" i="5"/>
  <c r="F11" i="5" s="1"/>
  <c r="D5" i="7" s="1"/>
  <c r="C12" i="5"/>
  <c r="E13" i="4"/>
  <c r="E12" i="4"/>
  <c r="E10" i="4"/>
  <c r="C13" i="3"/>
  <c r="C11" i="3"/>
  <c r="B13" i="3"/>
  <c r="E11" i="4"/>
  <c r="B7" i="4"/>
  <c r="C7" i="4"/>
  <c r="C12" i="4"/>
  <c r="E11" i="3"/>
  <c r="E13" i="3"/>
  <c r="E12" i="3"/>
  <c r="B12" i="5"/>
  <c r="F12" i="5" s="1"/>
  <c r="D6" i="7" s="1"/>
  <c r="F10" i="5"/>
  <c r="B13" i="6"/>
  <c r="F13" i="6" s="1"/>
  <c r="E7" i="7" s="1"/>
  <c r="B12" i="6"/>
  <c r="D13" i="6"/>
  <c r="B12" i="3"/>
  <c r="F12" i="3" s="1"/>
  <c r="B6" i="7" s="1"/>
  <c r="C11" i="2"/>
  <c r="D11" i="2"/>
  <c r="C73" i="2" l="1"/>
  <c r="C3" i="7"/>
  <c r="C11" i="4"/>
  <c r="C10" i="4"/>
  <c r="C13" i="4"/>
  <c r="F11" i="6"/>
  <c r="E5" i="7" s="1"/>
  <c r="F11" i="3"/>
  <c r="B4" i="7"/>
  <c r="B16" i="5"/>
  <c r="C16" i="5" s="1"/>
  <c r="D4" i="7"/>
  <c r="B18" i="5"/>
  <c r="C18" i="5" s="1"/>
  <c r="B19" i="5"/>
  <c r="C19" i="5" s="1"/>
  <c r="B17" i="5"/>
  <c r="C17" i="5" s="1"/>
  <c r="B10" i="4"/>
  <c r="B12" i="4"/>
  <c r="F12" i="4" s="1"/>
  <c r="C6" i="7" s="1"/>
  <c r="B13" i="4"/>
  <c r="B14" i="2"/>
  <c r="F14" i="2" s="1"/>
  <c r="B11" i="2"/>
  <c r="F11" i="2" s="1"/>
  <c r="B13" i="2"/>
  <c r="F13" i="2" s="1"/>
  <c r="B11" i="4"/>
  <c r="F11" i="4" s="1"/>
  <c r="C5" i="7" s="1"/>
  <c r="C59" i="2"/>
  <c r="B59" i="2"/>
  <c r="F12" i="6"/>
  <c r="E6" i="7" s="1"/>
  <c r="D59" i="2"/>
  <c r="F13" i="3"/>
  <c r="B7" i="7" s="1"/>
  <c r="F10" i="6"/>
  <c r="B60" i="2" l="1"/>
  <c r="D3" i="7"/>
  <c r="D73" i="2"/>
  <c r="B5" i="7"/>
  <c r="B18" i="3"/>
  <c r="C18" i="3" s="1"/>
  <c r="B73" i="2"/>
  <c r="B3" i="7"/>
  <c r="B18" i="2"/>
  <c r="C18" i="2" s="1"/>
  <c r="B21" i="2"/>
  <c r="C21" i="2" s="1"/>
  <c r="B20" i="2"/>
  <c r="C20" i="2" s="1"/>
  <c r="B19" i="2"/>
  <c r="C19" i="2" s="1"/>
  <c r="E3" i="7"/>
  <c r="E73" i="2"/>
  <c r="B19" i="3"/>
  <c r="C19" i="3" s="1"/>
  <c r="F13" i="4"/>
  <c r="C7" i="7" s="1"/>
  <c r="B17" i="3"/>
  <c r="C17" i="3" s="1"/>
  <c r="B16" i="6"/>
  <c r="C16" i="6" s="1"/>
  <c r="E4" i="7"/>
  <c r="B18" i="6"/>
  <c r="C18" i="6" s="1"/>
  <c r="B19" i="6"/>
  <c r="C19" i="6" s="1"/>
  <c r="B17" i="6"/>
  <c r="C17" i="6" s="1"/>
  <c r="B20" i="5"/>
  <c r="B21" i="5" s="1"/>
  <c r="B23" i="5" s="1"/>
  <c r="B24" i="5" s="1"/>
  <c r="E60" i="2"/>
  <c r="C60" i="2"/>
  <c r="D60" i="2"/>
  <c r="F10" i="4"/>
  <c r="B16" i="3"/>
  <c r="C16" i="3" s="1"/>
  <c r="B22" i="2" l="1"/>
  <c r="B23" i="2" s="1"/>
  <c r="B25" i="2" s="1"/>
  <c r="B26" i="2" s="1"/>
  <c r="B61" i="2"/>
  <c r="F6" i="7"/>
  <c r="F7" i="7"/>
  <c r="C4" i="7"/>
  <c r="F4" i="7" s="1"/>
  <c r="B16" i="4"/>
  <c r="C16" i="4" s="1"/>
  <c r="B18" i="4"/>
  <c r="C18" i="4" s="1"/>
  <c r="B19" i="4"/>
  <c r="C19" i="4" s="1"/>
  <c r="B17" i="4"/>
  <c r="C17" i="4" s="1"/>
  <c r="D61" i="2"/>
  <c r="C61" i="2"/>
  <c r="B20" i="6"/>
  <c r="B21" i="6" s="1"/>
  <c r="B23" i="6" s="1"/>
  <c r="B24" i="6" s="1"/>
  <c r="B20" i="3"/>
  <c r="B21" i="3" s="1"/>
  <c r="B23" i="3" s="1"/>
  <c r="B24" i="3" s="1"/>
  <c r="F5" i="7"/>
  <c r="E61" i="2"/>
  <c r="G5" i="7" l="1"/>
  <c r="C62" i="2"/>
  <c r="D62" i="2"/>
  <c r="B20" i="4"/>
  <c r="B21" i="4" s="1"/>
  <c r="B23" i="4" s="1"/>
  <c r="B24" i="4" s="1"/>
  <c r="D9" i="7"/>
  <c r="B9" i="7"/>
  <c r="G4" i="7"/>
  <c r="B62" i="2"/>
  <c r="G7" i="7"/>
  <c r="E62" i="2"/>
  <c r="G6" i="7"/>
  <c r="B63" i="2" l="1"/>
  <c r="C63" i="2"/>
  <c r="E63" i="2"/>
  <c r="D63" i="2"/>
  <c r="D64" i="2" l="1"/>
  <c r="E64" i="2"/>
  <c r="C64" i="2"/>
  <c r="B64" i="2"/>
  <c r="B65" i="2" l="1"/>
  <c r="C65" i="2"/>
  <c r="D65" i="2"/>
  <c r="E65" i="2"/>
  <c r="C66" i="2" l="1"/>
  <c r="B66" i="2"/>
  <c r="E66" i="2"/>
  <c r="D66" i="2"/>
  <c r="D67" i="2" l="1"/>
  <c r="E67" i="2"/>
  <c r="B67" i="2"/>
  <c r="C67" i="2"/>
  <c r="C68" i="2" l="1"/>
  <c r="D68" i="2"/>
  <c r="B68" i="2"/>
  <c r="E68" i="2"/>
  <c r="E69" i="2" l="1"/>
  <c r="E72" i="2" s="1"/>
  <c r="B69" i="2"/>
  <c r="B72" i="2" s="1"/>
  <c r="D69" i="2"/>
  <c r="D72" i="2" s="1"/>
  <c r="C69" i="2"/>
  <c r="C72" i="2" s="1"/>
  <c r="B74" i="2" l="1"/>
</calcChain>
</file>

<file path=xl/sharedStrings.xml><?xml version="1.0" encoding="utf-8"?>
<sst xmlns="http://schemas.openxmlformats.org/spreadsheetml/2006/main" count="328" uniqueCount="81">
  <si>
    <t>Caso: elección de tecnología de comunicación IoT/WSN para Palmor</t>
  </si>
  <si>
    <t>Réplica guiada de Sesión 2. Elegir la tecnología de comunicación (LoRaWAN, GSM/GPRS, Sigfox, Zigbee) para una red de sensores IoT/WSN de monitoreo agroclimático en Palmor, corregimiento de Ciénaga, Sierra Nevada de Santa Marta; criterios: Alcance, Autonomía, Infraestructura, Madurez.</t>
  </si>
  <si>
    <t>Cada juicio es la media geométrica de un panel de 3 expertos (ingeniero electrónico, ingeniero agrónomo, técnico de campo), no la opinión de una sola persona, ver hoja Criterios (filas 26+) para el mecanismo de agregación (Forman &amp; Peniwati, 1998, EJOR 108:165-169).</t>
  </si>
  <si>
    <t>Orden de hojas: Criterios → Alcance → Autonomía → Infraestructura → Madurez → Síntesis</t>
  </si>
  <si>
    <t>Cómo usarlo: en Criterios ya está armada la matriz agregada de los 3 expertos (celdas GEOMEAN, filas 3-6) y, más abajo (filas 26+), los 3 juicios individuales que la alimentan. En cada hoja de alternativa (Alcance, Autonomía, Infraestructura, Madurez) solo debe verificar la matriz ya agregada, su vector de prioridad y su CR. Al final, la hoja Síntesis combina los 4 vectores con los pesos de Criterios y calcula el ranking y el ganador automáticamente.</t>
  </si>
  <si>
    <t>¿Qué es GEOMEAN()? Es la media geométrica (la raíz n-ésima del producto de n números), la función de Excel que la hoja Criterios usa para combinar el mismo juicio de los 3 expertos en un solo número. No es el promedio normal (aritmético, =AVERAGE()): la media geométrica es la que preserva la propiedad recíproca a_ji=1/a_ij de una matriz AHP, el promedio aritmético la rompe (Forman &amp; Peniwati, 1998).</t>
  </si>
  <si>
    <t>Revise siempre la fila "¿Consistente? (CR &lt; 0.10)" de cada hoja antes de dar los juicios por buenos.</t>
  </si>
  <si>
    <t>AHP, Criterios</t>
  </si>
  <si>
    <t>Media geométrica de 3 expertos (Forman &amp; Peniwati, 1998), ver juicios individuales más abajo (filas 26+)</t>
  </si>
  <si>
    <t>Alcance</t>
  </si>
  <si>
    <t>Autonomía</t>
  </si>
  <si>
    <t>Infraestructura</t>
  </si>
  <si>
    <t>Madurez</t>
  </si>
  <si>
    <t>Suma</t>
  </si>
  <si>
    <t>Normalizada</t>
  </si>
  <si>
    <t>Vector prioridad</t>
  </si>
  <si>
    <t>Verificación de consistencia</t>
  </si>
  <si>
    <t>A·w (Alcance)</t>
  </si>
  <si>
    <t>lambda parcial</t>
  </si>
  <si>
    <t>A·w (Autonomía)</t>
  </si>
  <si>
    <t>A·w (Infraestructura)</t>
  </si>
  <si>
    <t>A·w (Madurez)</t>
  </si>
  <si>
    <t>lambda_max</t>
  </si>
  <si>
    <t>CI = (lambda_max - n) / (n - 1)</t>
  </si>
  <si>
    <t>RI (tabla Saaty, n=4)</t>
  </si>
  <si>
    <t>CR = CI / RI</t>
  </si>
  <si>
    <t>¿Consistente? (CR &lt; 0.10)</t>
  </si>
  <si>
    <t>Juicios individuales de los 3 expertos (entrada de GEOMEAN() de arriba)</t>
  </si>
  <si>
    <t>Experto 1: Ingeniero electrónico (experto en hardware y telecomunicaciones)</t>
  </si>
  <si>
    <t>Experto 2: Ingeniero agrónomo (experto en agricultura)</t>
  </si>
  <si>
    <t>Experto 3: Técnico de campo (experto en la problemática, Sierra Nevada)</t>
  </si>
  <si>
    <t>Verificación con el método EXACTO (Saaty, 1980): iteración de potencias</t>
  </si>
  <si>
    <t>w(k+1) = A·w(k), normalizado en cada paso. Arranca de un vector parejo (1/n cada uno) y converge al mismo vector de prioridad que el atajo de la columna F, filas 10-13 (normalizar+promediar). No es una tercera hoja distinta: usa la MISMA matriz agregada de arriba (filas 3-6).</t>
  </si>
  <si>
    <t>w(0), arranque parejo</t>
  </si>
  <si>
    <t>Iteración 1, A·w(0) (sin normalizar)</t>
  </si>
  <si>
    <t>w(1)</t>
  </si>
  <si>
    <t>Iteración 2, A·w(1) (sin normalizar)</t>
  </si>
  <si>
    <t>w(2)</t>
  </si>
  <si>
    <t>Iteración 3, A·w(2) (sin normalizar)</t>
  </si>
  <si>
    <t>w(3)</t>
  </si>
  <si>
    <t>Iteración 4, A·w(3) (sin normalizar)</t>
  </si>
  <si>
    <t>w(4)</t>
  </si>
  <si>
    <t>Iteración 5, A·w(4) (sin normalizar)</t>
  </si>
  <si>
    <t>w(5)</t>
  </si>
  <si>
    <t>Iteración 6, A·w(5) (sin normalizar)</t>
  </si>
  <si>
    <t>w(6) — ya no cambia en la 4ª cifra decimal desde aquí</t>
  </si>
  <si>
    <t>Comparando con el atajo (normalizar + promediar, filas 10-13)</t>
  </si>
  <si>
    <t>Potencias, w(6)</t>
  </si>
  <si>
    <t>Atajo (normalizar+promediar)</t>
  </si>
  <si>
    <t>Diferencia máxima</t>
  </si>
  <si>
    <t>AHP, Alcance</t>
  </si>
  <si>
    <t>Media geométrica de 3 expertos (ver juicios individuales más abajo, filas 26+). Sigfox 30-50km &gt;&gt; LoRaWAN/GSM-GPRS 5-16km &gt;&gt; Zigbee 10-100m</t>
  </si>
  <si>
    <t>LoRaWAN</t>
  </si>
  <si>
    <t>GSM/GPRS</t>
  </si>
  <si>
    <t>Sigfox</t>
  </si>
  <si>
    <t>Zigbee</t>
  </si>
  <si>
    <t>A·w (LoRaWAN)</t>
  </si>
  <si>
    <t>A·w (GSM/GPRS)</t>
  </si>
  <si>
    <t>A·w (Sigfox)</t>
  </si>
  <si>
    <t>A·w (Zigbee)</t>
  </si>
  <si>
    <t>AHP, Autonomía</t>
  </si>
  <si>
    <t>Media geométrica de 3 expertos (ver juicios individuales más abajo, filas 26+). LoRaWAN ~10 años &gt;&gt; Sigfox 1.5-2.5a ≈ Zigbee 1-2a &gt;&gt; GSM/GPRS (picos de hasta 2A en ráfaga GPRS)</t>
  </si>
  <si>
    <t>AHP, Infraestructura</t>
  </si>
  <si>
    <t>Media geométrica de 3 expertos (ver juicios individuales más abajo, filas 26+). Sigfox: red nacional desplegada (WND/Phaxsi) &gt;&gt; GSM/GPRS: cobertura celular real en retirada &gt; LoRaWAN≈Zigbee: sin red de operador</t>
  </si>
  <si>
    <t>AHP, Madurez</t>
  </si>
  <si>
    <t>Media geométrica de 3 expertos (ver juicios individuales más abajo, filas 26+). LoRaWAN≈Zigbee: estándares estables en crecimiento &gt;&gt; GSM/GPRS: maduro pero con apagado activo de 2G &gt;&gt; Sigfox: insolvencia real 2022</t>
  </si>
  <si>
    <t>Tecnología</t>
  </si>
  <si>
    <t>Prioridad global</t>
  </si>
  <si>
    <t>Ranking</t>
  </si>
  <si>
    <t>Peso del criterio</t>
  </si>
  <si>
    <t>Ganador</t>
  </si>
  <si>
    <t>con prioridad global de</t>
  </si>
  <si>
    <t>EFICIENCIA DE DATOS</t>
  </si>
  <si>
    <t>METRICAS WER/CER</t>
  </si>
  <si>
    <t>MADUREZ Y SOPORTE DE HERRAMIENTAS</t>
  </si>
  <si>
    <t>DEPENDENCIA DE ANOTACION</t>
  </si>
  <si>
    <t>TRANSFERIBILIDAD ENTRE LENGUAS</t>
  </si>
  <si>
    <t>RI (tabla Saaty, n=5)</t>
  </si>
  <si>
    <t>Experto 1: Ingeniero/investigador en Machine Learning o procesamiento de voz (ASR)</t>
  </si>
  <si>
    <t>Experto 2: Ingeniero electrónico, procesamiento de señales</t>
  </si>
  <si>
    <t>Experto 3: Hablante nativo colaborador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</si>
</sst>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%"/>
  </numFmts>
  <fonts count="8" x14ac:knownFonts="1">
    <font>
      <sz val="11"/>
      <color theme="1"/>
      <name val="Calibri"/>
      <family val="2"/>
      <scheme val="minor"/>
    </font>
    <font>
      <b/>
      <sz val="14"/>
      <color rgb="FF8B6CFF"/>
      <name val="Calibri"/>
      <family val="2"/>
    </font>
    <font>
      <i/>
      <sz val="9"/>
      <color rgb="FF666666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2"/>
      <name val="Calibri"/>
      <family val="2"/>
    </font>
    <font>
      <b/>
      <sz val="11"/>
      <color rgb="FF5B3FCC"/>
      <name val="Calibri"/>
      <family val="2"/>
    </font>
    <font>
      <b/>
      <sz val="12"/>
      <color rgb="FF8B6C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8B6CFF"/>
      </patternFill>
    </fill>
    <fill>
      <patternFill patternType="solid">
        <fgColor rgb="FFD8F5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3" fillId="2" borderId="0" xfId="0" applyFont="1" applyFill="1" applyAlignment="1">
      <alignment horizontal="center" wrapText="1"/>
    </xf>
    <xf numFmtId="0" fontId="3" fillId="2" borderId="0" xfId="0" applyFont="1" applyFill="1"/>
    <xf numFmtId="164" fontId="0" fillId="0" borderId="0" xfId="0" applyNumberFormat="1" applyAlignment="1">
      <alignment horizontal="center"/>
    </xf>
    <xf numFmtId="0" fontId="4" fillId="0" borderId="0" xfId="0" applyFont="1"/>
    <xf numFmtId="164" fontId="4" fillId="0" borderId="0" xfId="0" applyNumberFormat="1" applyFont="1"/>
    <xf numFmtId="165" fontId="0" fillId="0" borderId="0" xfId="0" applyNumberFormat="1"/>
    <xf numFmtId="165" fontId="4" fillId="3" borderId="0" xfId="0" applyNumberFormat="1" applyFont="1" applyFill="1"/>
    <xf numFmtId="0" fontId="5" fillId="0" borderId="0" xfId="0" applyFont="1"/>
    <xf numFmtId="2" fontId="0" fillId="0" borderId="0" xfId="0" applyNumberFormat="1"/>
    <xf numFmtId="0" fontId="6" fillId="0" borderId="0" xfId="0" applyFont="1"/>
    <xf numFmtId="12" fontId="0" fillId="0" borderId="0" xfId="0" applyNumberFormat="1" applyAlignment="1">
      <alignment horizontal="center"/>
    </xf>
    <xf numFmtId="0" fontId="7" fillId="0" borderId="0" xfId="0" applyFont="1"/>
    <xf numFmtId="165" fontId="4" fillId="0" borderId="0" xfId="0" applyNumberFormat="1" applyFont="1"/>
    <xf numFmtId="0" fontId="4" fillId="0" borderId="0" xfId="0" applyFont="1" applyAlignment="1">
      <alignment horizontal="center"/>
    </xf>
    <xf numFmtId="0" fontId="5" fillId="3" borderId="0" xfId="0" applyFont="1" applyFill="1"/>
    <xf numFmtId="0" fontId="2" fillId="0" borderId="0" xfId="0" applyFont="1"/>
    <xf numFmtId="166" fontId="0" fillId="0" borderId="0" xfId="0" applyNumberFormat="1"/>
    <xf numFmtId="0" fontId="2" fillId="0" borderId="0" xfId="0" applyFont="1" applyAlignment="1">
      <alignment wrapText="1"/>
    </xf>
    <xf numFmtId="0" fontId="0" fillId="0" borderId="0" xfId="0"/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11">
    <dxf>
      <fill>
        <patternFill patternType="solid">
          <fgColor rgb="FFD8F5E3"/>
        </patternFill>
      </fill>
    </dxf>
    <dxf>
      <fill>
        <patternFill patternType="solid">
          <fgColor rgb="FFF5D8D8"/>
        </patternFill>
      </fill>
    </dxf>
    <dxf>
      <fill>
        <patternFill patternType="solid">
          <fgColor rgb="FFD8F5E3"/>
        </patternFill>
      </fill>
    </dxf>
    <dxf>
      <fill>
        <patternFill patternType="solid">
          <fgColor rgb="FFF5D8D8"/>
        </patternFill>
      </fill>
    </dxf>
    <dxf>
      <fill>
        <patternFill patternType="solid">
          <fgColor rgb="FFD8F5E3"/>
        </patternFill>
      </fill>
    </dxf>
    <dxf>
      <fill>
        <patternFill patternType="solid">
          <fgColor rgb="FFF5D8D8"/>
        </patternFill>
      </fill>
    </dxf>
    <dxf>
      <fill>
        <patternFill patternType="solid">
          <fgColor rgb="FFD8F5E3"/>
        </patternFill>
      </fill>
    </dxf>
    <dxf>
      <fill>
        <patternFill patternType="solid">
          <fgColor rgb="FFF5D8D8"/>
        </patternFill>
      </fill>
    </dxf>
    <dxf>
      <fill>
        <patternFill patternType="solid">
          <fgColor rgb="FFD8F5E3"/>
        </patternFill>
      </fill>
    </dxf>
    <dxf>
      <fill>
        <patternFill patternType="solid">
          <fgColor rgb="FFF5D8D8"/>
        </patternFill>
      </fill>
    </dxf>
    <dxf>
      <fill>
        <patternFill patternType="solid">
          <fgColor rgb="FFD8F5E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"/>
  <sheetViews>
    <sheetView tabSelected="1" topLeftCell="A7" zoomScale="157" workbookViewId="0">
      <selection activeCell="C11" sqref="C11"/>
    </sheetView>
  </sheetViews>
  <sheetFormatPr baseColWidth="10" defaultColWidth="8.83203125" defaultRowHeight="15" x14ac:dyDescent="0.2"/>
  <cols>
    <col min="1" max="1" width="90" customWidth="1"/>
  </cols>
  <sheetData>
    <row r="1" spans="1:1" ht="19" x14ac:dyDescent="0.25">
      <c r="A1" s="1" t="s">
        <v>0</v>
      </c>
    </row>
    <row r="3" spans="1:1" ht="75" customHeight="1" x14ac:dyDescent="0.2">
      <c r="A3" s="2" t="s">
        <v>1</v>
      </c>
    </row>
    <row r="4" spans="1:1" ht="60" customHeight="1" x14ac:dyDescent="0.2">
      <c r="A4" s="2" t="s">
        <v>2</v>
      </c>
    </row>
    <row r="5" spans="1:1" x14ac:dyDescent="0.2">
      <c r="A5" t="s">
        <v>3</v>
      </c>
    </row>
    <row r="6" spans="1:1" ht="90" customHeight="1" x14ac:dyDescent="0.2">
      <c r="A6" s="2" t="s">
        <v>4</v>
      </c>
    </row>
    <row r="7" spans="1:1" ht="90" customHeight="1" x14ac:dyDescent="0.2">
      <c r="A7" s="2" t="s">
        <v>5</v>
      </c>
    </row>
    <row r="8" spans="1:1" x14ac:dyDescent="0.2">
      <c r="A8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4"/>
  <sheetViews>
    <sheetView topLeftCell="A72" zoomScale="142" workbookViewId="0">
      <selection activeCell="B46" sqref="B46"/>
    </sheetView>
  </sheetViews>
  <sheetFormatPr baseColWidth="10" defaultColWidth="8.83203125" defaultRowHeight="15" x14ac:dyDescent="0.2"/>
  <cols>
    <col min="1" max="1" width="34.83203125" customWidth="1"/>
    <col min="2" max="2" width="18" bestFit="1" customWidth="1"/>
    <col min="3" max="3" width="17" bestFit="1" customWidth="1"/>
    <col min="4" max="4" width="34.83203125" bestFit="1" customWidth="1"/>
    <col min="5" max="5" width="25.5" bestFit="1" customWidth="1"/>
    <col min="6" max="6" width="30" bestFit="1" customWidth="1"/>
    <col min="7" max="7" width="13" customWidth="1"/>
  </cols>
  <sheetData>
    <row r="1" spans="1:6" ht="30" customHeight="1" x14ac:dyDescent="0.25">
      <c r="A1" s="1" t="s">
        <v>7</v>
      </c>
      <c r="B1" s="22" t="s">
        <v>8</v>
      </c>
      <c r="C1" s="21"/>
      <c r="D1" s="21"/>
      <c r="E1" s="21"/>
      <c r="F1" s="21"/>
    </row>
    <row r="2" spans="1:6" x14ac:dyDescent="0.2">
      <c r="B2" s="4" t="s">
        <v>72</v>
      </c>
      <c r="C2" s="4" t="s">
        <v>73</v>
      </c>
      <c r="D2" s="4" t="s">
        <v>74</v>
      </c>
      <c r="E2" s="4" t="s">
        <v>75</v>
      </c>
      <c r="F2" s="4" t="s">
        <v>76</v>
      </c>
    </row>
    <row r="3" spans="1:6" x14ac:dyDescent="0.2">
      <c r="A3" s="4" t="s">
        <v>72</v>
      </c>
      <c r="B3" s="5">
        <v>1</v>
      </c>
      <c r="C3" s="5" t="e">
        <f>GEOMEAN(C32,C40,C48)</f>
        <v>#NUM!</v>
      </c>
      <c r="D3" s="5" t="e">
        <f>GEOMEAN(D32,D40,D48)</f>
        <v>#NUM!</v>
      </c>
      <c r="E3" s="5" t="e">
        <f>GEOMEAN(E32,E40,E48)</f>
        <v>#NUM!</v>
      </c>
      <c r="F3" s="5" t="e">
        <f>GEOMEAN(F32,F40,F48)</f>
        <v>#NUM!</v>
      </c>
    </row>
    <row r="4" spans="1:6" x14ac:dyDescent="0.2">
      <c r="A4" s="4" t="s">
        <v>73</v>
      </c>
      <c r="B4" s="5" t="e">
        <f>1/C3</f>
        <v>#NUM!</v>
      </c>
      <c r="C4" s="5">
        <v>1</v>
      </c>
      <c r="D4" s="5" t="e">
        <f>GEOMEAN(D33,D41,D49)</f>
        <v>#NUM!</v>
      </c>
      <c r="E4" s="5" t="e">
        <f>GEOMEAN(E33,E41,E49)</f>
        <v>#NUM!</v>
      </c>
      <c r="F4" s="5" t="e">
        <f>GEOMEAN(F33,F41,F49)</f>
        <v>#NUM!</v>
      </c>
    </row>
    <row r="5" spans="1:6" x14ac:dyDescent="0.2">
      <c r="A5" s="4" t="s">
        <v>74</v>
      </c>
      <c r="B5" s="5" t="e">
        <f>1/D3</f>
        <v>#NUM!</v>
      </c>
      <c r="C5" s="5" t="e">
        <f>1/D4</f>
        <v>#NUM!</v>
      </c>
      <c r="D5" s="5">
        <v>1</v>
      </c>
      <c r="E5" s="5" t="e">
        <f>GEOMEAN(E34,E42,E50)</f>
        <v>#NUM!</v>
      </c>
      <c r="F5" s="5" t="e">
        <f>GEOMEAN(F34,F42,F50)</f>
        <v>#NUM!</v>
      </c>
    </row>
    <row r="6" spans="1:6" x14ac:dyDescent="0.2">
      <c r="A6" s="4" t="s">
        <v>75</v>
      </c>
      <c r="B6" s="5" t="e">
        <f>1/E3</f>
        <v>#NUM!</v>
      </c>
      <c r="C6" s="5" t="e">
        <f>1/E4</f>
        <v>#NUM!</v>
      </c>
      <c r="D6" s="5" t="e">
        <f>1/E5</f>
        <v>#NUM!</v>
      </c>
      <c r="E6" s="5">
        <v>1</v>
      </c>
      <c r="F6" s="5" t="e">
        <f>GEOMEAN(F35,F43,F51)</f>
        <v>#NUM!</v>
      </c>
    </row>
    <row r="7" spans="1:6" x14ac:dyDescent="0.2">
      <c r="A7" s="4" t="s">
        <v>76</v>
      </c>
      <c r="B7" t="e">
        <f>1/F3</f>
        <v>#NUM!</v>
      </c>
      <c r="C7" t="e">
        <f>1/F4</f>
        <v>#NUM!</v>
      </c>
      <c r="D7" t="e">
        <f>1/F5</f>
        <v>#NUM!</v>
      </c>
      <c r="E7" t="e">
        <f>1/F6</f>
        <v>#NUM!</v>
      </c>
      <c r="F7">
        <v>1</v>
      </c>
    </row>
    <row r="8" spans="1:6" x14ac:dyDescent="0.2">
      <c r="A8" s="6" t="s">
        <v>13</v>
      </c>
      <c r="B8" s="7" t="e">
        <f>SUM(B3:B6)</f>
        <v>#NUM!</v>
      </c>
      <c r="C8" s="7" t="e">
        <f>SUM(C3:C6)</f>
        <v>#NUM!</v>
      </c>
      <c r="D8" s="7" t="e">
        <f>SUM(D3:D6)</f>
        <v>#NUM!</v>
      </c>
      <c r="E8" s="7" t="e">
        <f>SUM(E3:E6)</f>
        <v>#NUM!</v>
      </c>
      <c r="F8" s="7" t="e">
        <f>SUM(F3:F6)</f>
        <v>#NUM!</v>
      </c>
    </row>
    <row r="10" spans="1:6" x14ac:dyDescent="0.2">
      <c r="A10" s="6" t="s">
        <v>14</v>
      </c>
      <c r="F10" s="6" t="s">
        <v>15</v>
      </c>
    </row>
    <row r="11" spans="1:6" x14ac:dyDescent="0.2">
      <c r="A11" s="4" t="s">
        <v>72</v>
      </c>
      <c r="B11" s="8" t="e">
        <f>B3/B$8</f>
        <v>#NUM!</v>
      </c>
      <c r="C11" s="8" t="e">
        <f>C3/C$8</f>
        <v>#NUM!</v>
      </c>
      <c r="D11" s="8" t="e">
        <f>D3/D$8</f>
        <v>#NUM!</v>
      </c>
      <c r="E11" s="8" t="e">
        <f>E3/E$8</f>
        <v>#NUM!</v>
      </c>
      <c r="F11" s="9" t="e">
        <f>AVERAGE(B11:E11)</f>
        <v>#NUM!</v>
      </c>
    </row>
    <row r="12" spans="1:6" x14ac:dyDescent="0.2">
      <c r="A12" s="4" t="s">
        <v>73</v>
      </c>
      <c r="B12" s="8" t="e">
        <f>B4/B$8</f>
        <v>#NUM!</v>
      </c>
      <c r="C12" s="8" t="e">
        <f>C4/C$8</f>
        <v>#NUM!</v>
      </c>
      <c r="D12" s="8" t="e">
        <f>D4/D$8</f>
        <v>#NUM!</v>
      </c>
      <c r="E12" s="8" t="e">
        <f>E4/E$8</f>
        <v>#NUM!</v>
      </c>
      <c r="F12" s="9" t="e">
        <f>AVERAGE(B12:E12)</f>
        <v>#NUM!</v>
      </c>
    </row>
    <row r="13" spans="1:6" x14ac:dyDescent="0.2">
      <c r="A13" s="4" t="s">
        <v>74</v>
      </c>
      <c r="B13" s="8" t="e">
        <f>B5/B$8</f>
        <v>#NUM!</v>
      </c>
      <c r="C13" s="8" t="e">
        <f>C5/C$8</f>
        <v>#NUM!</v>
      </c>
      <c r="D13" s="8" t="e">
        <f>D5/D$8</f>
        <v>#NUM!</v>
      </c>
      <c r="E13" s="8" t="e">
        <f>E5/E$8</f>
        <v>#NUM!</v>
      </c>
      <c r="F13" s="9" t="e">
        <f>AVERAGE(B13:E13)</f>
        <v>#NUM!</v>
      </c>
    </row>
    <row r="14" spans="1:6" x14ac:dyDescent="0.2">
      <c r="A14" s="4" t="s">
        <v>75</v>
      </c>
      <c r="B14" s="8" t="e">
        <f>B6/B$8</f>
        <v>#NUM!</v>
      </c>
      <c r="C14" s="8" t="e">
        <f>C6/C$8</f>
        <v>#NUM!</v>
      </c>
      <c r="D14" s="8" t="e">
        <f>D6/D$8</f>
        <v>#NUM!</v>
      </c>
      <c r="E14" s="8" t="e">
        <f>E6/E$8</f>
        <v>#NUM!</v>
      </c>
      <c r="F14" s="9" t="e">
        <f>AVERAGE(B14:E14)</f>
        <v>#NUM!</v>
      </c>
    </row>
    <row r="15" spans="1:6" x14ac:dyDescent="0.2">
      <c r="A15" s="4" t="s">
        <v>76</v>
      </c>
      <c r="B15" s="8" t="e">
        <f>B7/B$8</f>
        <v>#NUM!</v>
      </c>
      <c r="C15" s="8" t="e">
        <f>C7/C$8</f>
        <v>#NUM!</v>
      </c>
      <c r="D15" s="8" t="e">
        <f>D7/D$8</f>
        <v>#NUM!</v>
      </c>
      <c r="E15" s="8" t="e">
        <f>E7/E$8</f>
        <v>#NUM!</v>
      </c>
      <c r="F15" s="9" t="e">
        <f>AVERAGE(B15:E15)</f>
        <v>#NUM!</v>
      </c>
    </row>
    <row r="17" spans="1:6" ht="16" x14ac:dyDescent="0.2">
      <c r="A17" s="10" t="s">
        <v>16</v>
      </c>
    </row>
    <row r="18" spans="1:6" x14ac:dyDescent="0.2">
      <c r="A18" t="s">
        <v>17</v>
      </c>
      <c r="B18" s="8" t="e">
        <f>B3*$F$11 + C3*$F$12 + D3*$F$13 + E3*$F$14</f>
        <v>#NUM!</v>
      </c>
      <c r="C18" s="8" t="e">
        <f>B18/F11</f>
        <v>#NUM!</v>
      </c>
      <c r="D18" t="s">
        <v>18</v>
      </c>
    </row>
    <row r="19" spans="1:6" x14ac:dyDescent="0.2">
      <c r="A19" t="s">
        <v>19</v>
      </c>
      <c r="B19" s="8" t="e">
        <f>B4*$F$11 + C4*$F$12 + D4*$F$13 + E4*$F$14</f>
        <v>#NUM!</v>
      </c>
      <c r="C19" s="8" t="e">
        <f>B19/F12</f>
        <v>#NUM!</v>
      </c>
      <c r="D19" t="s">
        <v>18</v>
      </c>
    </row>
    <row r="20" spans="1:6" x14ac:dyDescent="0.2">
      <c r="A20" t="s">
        <v>20</v>
      </c>
      <c r="B20" s="8" t="e">
        <f>B5*$F$11 + C5*$F$12 + D5*$F$13 + E5*$F$14</f>
        <v>#NUM!</v>
      </c>
      <c r="C20" s="8" t="e">
        <f>B20/F13</f>
        <v>#NUM!</v>
      </c>
      <c r="D20" t="s">
        <v>18</v>
      </c>
    </row>
    <row r="21" spans="1:6" x14ac:dyDescent="0.2">
      <c r="A21" t="s">
        <v>21</v>
      </c>
      <c r="B21" s="8" t="e">
        <f>B6*$F$11 + C6*$F$12 + D6*$F$13 + E6*$F$14</f>
        <v>#NUM!</v>
      </c>
      <c r="C21" s="8" t="e">
        <f>B21/F14</f>
        <v>#NUM!</v>
      </c>
      <c r="D21" t="s">
        <v>18</v>
      </c>
    </row>
    <row r="22" spans="1:6" x14ac:dyDescent="0.2">
      <c r="A22" t="s">
        <v>22</v>
      </c>
      <c r="B22" s="8" t="e">
        <f>AVERAGE(C18:C21)</f>
        <v>#NUM!</v>
      </c>
    </row>
    <row r="23" spans="1:6" x14ac:dyDescent="0.2">
      <c r="A23" t="s">
        <v>23</v>
      </c>
      <c r="B23" s="8" t="e">
        <f>(B22-4)/(4-1)</f>
        <v>#NUM!</v>
      </c>
    </row>
    <row r="24" spans="1:6" x14ac:dyDescent="0.2">
      <c r="A24" t="s">
        <v>77</v>
      </c>
      <c r="B24" s="11">
        <v>1.1200000000000001</v>
      </c>
    </row>
    <row r="25" spans="1:6" x14ac:dyDescent="0.2">
      <c r="A25" s="6" t="s">
        <v>25</v>
      </c>
      <c r="B25" s="9" t="e">
        <f>B23/B24</f>
        <v>#NUM!</v>
      </c>
    </row>
    <row r="26" spans="1:6" x14ac:dyDescent="0.2">
      <c r="A26" s="6" t="s">
        <v>26</v>
      </c>
      <c r="B26" s="6" t="e">
        <f>IF(B25&lt;0.1,"Sí, consistente","No, revisar juicios")</f>
        <v>#NUM!</v>
      </c>
    </row>
    <row r="28" spans="1:6" ht="16" x14ac:dyDescent="0.2">
      <c r="A28" s="10" t="s">
        <v>27</v>
      </c>
    </row>
    <row r="30" spans="1:6" x14ac:dyDescent="0.2">
      <c r="A30" s="12" t="s">
        <v>78</v>
      </c>
    </row>
    <row r="31" spans="1:6" x14ac:dyDescent="0.2">
      <c r="B31" s="4" t="s">
        <v>72</v>
      </c>
      <c r="C31" s="4" t="s">
        <v>73</v>
      </c>
      <c r="D31" s="4" t="s">
        <v>74</v>
      </c>
      <c r="E31" s="4" t="s">
        <v>75</v>
      </c>
      <c r="F31" s="4" t="s">
        <v>76</v>
      </c>
    </row>
    <row r="32" spans="1:6" x14ac:dyDescent="0.2">
      <c r="A32" s="4" t="s">
        <v>72</v>
      </c>
      <c r="B32" s="13">
        <v>1</v>
      </c>
      <c r="C32" s="13"/>
      <c r="D32" s="13"/>
      <c r="E32" s="13"/>
    </row>
    <row r="33" spans="1:6" x14ac:dyDescent="0.2">
      <c r="A33" s="4" t="s">
        <v>73</v>
      </c>
      <c r="B33" s="13" t="e">
        <f>1/C32</f>
        <v>#DIV/0!</v>
      </c>
      <c r="C33" s="13">
        <v>1</v>
      </c>
      <c r="D33" s="13"/>
      <c r="E33" s="13"/>
    </row>
    <row r="34" spans="1:6" x14ac:dyDescent="0.2">
      <c r="A34" s="4" t="s">
        <v>74</v>
      </c>
      <c r="B34" s="13" t="e">
        <f>1/D32</f>
        <v>#DIV/0!</v>
      </c>
      <c r="C34" s="13" t="e">
        <f>1/D33</f>
        <v>#DIV/0!</v>
      </c>
      <c r="D34" s="13">
        <v>1</v>
      </c>
      <c r="E34" s="13"/>
    </row>
    <row r="35" spans="1:6" x14ac:dyDescent="0.2">
      <c r="A35" s="4" t="s">
        <v>75</v>
      </c>
      <c r="B35" s="13" t="e">
        <f>1/E32</f>
        <v>#DIV/0!</v>
      </c>
      <c r="C35" s="13" t="e">
        <f>1/E33</f>
        <v>#DIV/0!</v>
      </c>
      <c r="D35" s="13" t="e">
        <f>1/E34</f>
        <v>#DIV/0!</v>
      </c>
      <c r="E35" s="13">
        <v>1</v>
      </c>
    </row>
    <row r="36" spans="1:6" x14ac:dyDescent="0.2">
      <c r="A36" s="4" t="s">
        <v>76</v>
      </c>
      <c r="B36" t="e">
        <f>1/F32</f>
        <v>#DIV/0!</v>
      </c>
      <c r="C36" t="e">
        <f>1/F33</f>
        <v>#DIV/0!</v>
      </c>
      <c r="D36" t="e">
        <f>1/F34</f>
        <v>#DIV/0!</v>
      </c>
      <c r="E36" t="e">
        <f>1/F35</f>
        <v>#DIV/0!</v>
      </c>
      <c r="F36">
        <v>1</v>
      </c>
    </row>
    <row r="38" spans="1:6" x14ac:dyDescent="0.2">
      <c r="A38" s="12" t="s">
        <v>79</v>
      </c>
    </row>
    <row r="39" spans="1:6" x14ac:dyDescent="0.2">
      <c r="B39" s="4" t="s">
        <v>72</v>
      </c>
      <c r="C39" s="4" t="s">
        <v>73</v>
      </c>
      <c r="D39" s="4" t="s">
        <v>74</v>
      </c>
      <c r="E39" s="4" t="s">
        <v>75</v>
      </c>
      <c r="F39" s="4" t="s">
        <v>76</v>
      </c>
    </row>
    <row r="40" spans="1:6" x14ac:dyDescent="0.2">
      <c r="A40" s="4" t="s">
        <v>72</v>
      </c>
      <c r="B40" s="13">
        <v>1</v>
      </c>
      <c r="C40" s="13"/>
      <c r="D40" s="13"/>
      <c r="E40" s="13"/>
    </row>
    <row r="41" spans="1:6" x14ac:dyDescent="0.2">
      <c r="A41" s="4" t="s">
        <v>73</v>
      </c>
      <c r="B41" s="13" t="e">
        <f>1/C40</f>
        <v>#DIV/0!</v>
      </c>
      <c r="C41" s="13">
        <v>1</v>
      </c>
      <c r="D41" s="13"/>
      <c r="E41" s="13"/>
    </row>
    <row r="42" spans="1:6" x14ac:dyDescent="0.2">
      <c r="A42" s="4" t="s">
        <v>74</v>
      </c>
      <c r="B42" s="13" t="e">
        <f>1/D40</f>
        <v>#DIV/0!</v>
      </c>
      <c r="C42" s="13" t="e">
        <f>1/D41</f>
        <v>#DIV/0!</v>
      </c>
      <c r="D42" s="13">
        <v>1</v>
      </c>
      <c r="E42" s="13"/>
    </row>
    <row r="43" spans="1:6" x14ac:dyDescent="0.2">
      <c r="A43" s="4" t="s">
        <v>75</v>
      </c>
      <c r="B43" s="13" t="e">
        <f>1/E40</f>
        <v>#DIV/0!</v>
      </c>
      <c r="C43" s="13" t="e">
        <f>1/E41</f>
        <v>#DIV/0!</v>
      </c>
      <c r="D43" s="13" t="e">
        <f>1/E42</f>
        <v>#DIV/0!</v>
      </c>
      <c r="E43" s="13">
        <v>1</v>
      </c>
    </row>
    <row r="44" spans="1:6" x14ac:dyDescent="0.2">
      <c r="A44" s="4" t="s">
        <v>76</v>
      </c>
      <c r="B44" t="e">
        <f>1/F40</f>
        <v>#DIV/0!</v>
      </c>
      <c r="C44" t="e">
        <f>1/F41</f>
        <v>#DIV/0!</v>
      </c>
      <c r="D44" t="e">
        <f>1/F42</f>
        <v>#DIV/0!</v>
      </c>
      <c r="E44" t="e">
        <f>1/F43</f>
        <v>#DIV/0!</v>
      </c>
      <c r="F44">
        <v>1</v>
      </c>
    </row>
    <row r="46" spans="1:6" x14ac:dyDescent="0.2">
      <c r="A46" s="12" t="s">
        <v>80</v>
      </c>
    </row>
    <row r="47" spans="1:6" x14ac:dyDescent="0.2">
      <c r="B47" s="4" t="s">
        <v>72</v>
      </c>
      <c r="C47" s="4" t="s">
        <v>73</v>
      </c>
      <c r="D47" s="4" t="s">
        <v>74</v>
      </c>
      <c r="E47" s="4" t="s">
        <v>75</v>
      </c>
      <c r="F47" s="4" t="s">
        <v>76</v>
      </c>
    </row>
    <row r="48" spans="1:6" x14ac:dyDescent="0.2">
      <c r="A48" s="4" t="s">
        <v>72</v>
      </c>
      <c r="B48" s="13">
        <v>1</v>
      </c>
      <c r="C48" s="13"/>
      <c r="D48" s="13"/>
      <c r="E48" s="13"/>
    </row>
    <row r="49" spans="1:6" x14ac:dyDescent="0.2">
      <c r="A49" s="4" t="s">
        <v>73</v>
      </c>
      <c r="B49" s="13" t="e">
        <f>1/C48</f>
        <v>#DIV/0!</v>
      </c>
      <c r="C49" s="13">
        <v>1</v>
      </c>
      <c r="D49" s="13"/>
      <c r="E49" s="13"/>
    </row>
    <row r="50" spans="1:6" x14ac:dyDescent="0.2">
      <c r="A50" s="4" t="s">
        <v>74</v>
      </c>
      <c r="B50" s="13" t="e">
        <f>1/D48</f>
        <v>#DIV/0!</v>
      </c>
      <c r="C50" s="13" t="e">
        <f>1/D49</f>
        <v>#DIV/0!</v>
      </c>
      <c r="D50" s="13">
        <v>1</v>
      </c>
      <c r="E50" s="13"/>
    </row>
    <row r="51" spans="1:6" x14ac:dyDescent="0.2">
      <c r="A51" s="4" t="s">
        <v>75</v>
      </c>
      <c r="B51" s="13" t="e">
        <f>1/E48</f>
        <v>#DIV/0!</v>
      </c>
      <c r="C51" s="13" t="e">
        <f>1/E49</f>
        <v>#DIV/0!</v>
      </c>
      <c r="D51" s="13" t="e">
        <f>1/E50</f>
        <v>#DIV/0!</v>
      </c>
      <c r="E51" s="13">
        <v>1</v>
      </c>
    </row>
    <row r="52" spans="1:6" x14ac:dyDescent="0.2">
      <c r="A52" s="4" t="s">
        <v>76</v>
      </c>
      <c r="B52" t="e">
        <f>1/F48</f>
        <v>#DIV/0!</v>
      </c>
      <c r="C52" t="e">
        <f>1/F49</f>
        <v>#DIV/0!</v>
      </c>
      <c r="D52" t="e">
        <f>1/F50</f>
        <v>#DIV/0!</v>
      </c>
      <c r="E52" t="e">
        <f>1/F51</f>
        <v>#DIV/0!</v>
      </c>
      <c r="F52">
        <v>1</v>
      </c>
    </row>
    <row r="54" spans="1:6" ht="16" x14ac:dyDescent="0.2">
      <c r="A54" s="14" t="s">
        <v>31</v>
      </c>
    </row>
    <row r="55" spans="1:6" ht="45" customHeight="1" x14ac:dyDescent="0.2">
      <c r="A55" s="20" t="s">
        <v>32</v>
      </c>
      <c r="B55" s="21"/>
      <c r="C55" s="21"/>
      <c r="D55" s="21"/>
      <c r="E55" s="21"/>
    </row>
    <row r="57" spans="1:6" x14ac:dyDescent="0.2">
      <c r="A57" s="6" t="s">
        <v>33</v>
      </c>
      <c r="B57" s="8">
        <f>1/4</f>
        <v>0.25</v>
      </c>
      <c r="C57" s="8">
        <f>1/4</f>
        <v>0.25</v>
      </c>
      <c r="D57" s="8">
        <f>1/4</f>
        <v>0.25</v>
      </c>
      <c r="E57" s="8">
        <f>1/4</f>
        <v>0.25</v>
      </c>
    </row>
    <row r="58" spans="1:6" x14ac:dyDescent="0.2">
      <c r="A58" t="s">
        <v>34</v>
      </c>
      <c r="B58" s="8" t="e">
        <f>SUMPRODUCT(B3:E3,B57:E57)</f>
        <v>#NUM!</v>
      </c>
      <c r="C58" s="8" t="e">
        <f>SUMPRODUCT(B4:E4,B57:E57)</f>
        <v>#NUM!</v>
      </c>
      <c r="D58" s="8" t="e">
        <f>SUMPRODUCT(B5:E5,B57:E57)</f>
        <v>#NUM!</v>
      </c>
      <c r="E58" s="8" t="e">
        <f>SUMPRODUCT(B6:E6,B57:E57)</f>
        <v>#NUM!</v>
      </c>
    </row>
    <row r="59" spans="1:6" x14ac:dyDescent="0.2">
      <c r="A59" s="6" t="s">
        <v>35</v>
      </c>
      <c r="B59" s="15" t="e">
        <f>B58/SUM(B58:E58)</f>
        <v>#NUM!</v>
      </c>
      <c r="C59" s="15" t="e">
        <f>C58/SUM(B58:E58)</f>
        <v>#NUM!</v>
      </c>
      <c r="D59" s="15" t="e">
        <f>D58/SUM(B58:E58)</f>
        <v>#NUM!</v>
      </c>
      <c r="E59" s="15" t="e">
        <f>E58/SUM(B58:E58)</f>
        <v>#NUM!</v>
      </c>
    </row>
    <row r="60" spans="1:6" x14ac:dyDescent="0.2">
      <c r="A60" t="s">
        <v>36</v>
      </c>
      <c r="B60" s="8" t="e">
        <f>SUMPRODUCT(B3:E3,B59:E59)</f>
        <v>#NUM!</v>
      </c>
      <c r="C60" s="8" t="e">
        <f>SUMPRODUCT(B4:E4,B59:E59)</f>
        <v>#NUM!</v>
      </c>
      <c r="D60" s="8" t="e">
        <f>SUMPRODUCT(B5:E5,B59:E59)</f>
        <v>#NUM!</v>
      </c>
      <c r="E60" s="8" t="e">
        <f>SUMPRODUCT(B6:E6,B59:E59)</f>
        <v>#NUM!</v>
      </c>
    </row>
    <row r="61" spans="1:6" x14ac:dyDescent="0.2">
      <c r="A61" s="6" t="s">
        <v>37</v>
      </c>
      <c r="B61" s="15" t="e">
        <f>B60/SUM(B60:E60)</f>
        <v>#NUM!</v>
      </c>
      <c r="C61" s="15" t="e">
        <f>C60/SUM(B60:E60)</f>
        <v>#NUM!</v>
      </c>
      <c r="D61" s="15" t="e">
        <f>D60/SUM(B60:E60)</f>
        <v>#NUM!</v>
      </c>
      <c r="E61" s="15" t="e">
        <f>E60/SUM(B60:E60)</f>
        <v>#NUM!</v>
      </c>
    </row>
    <row r="62" spans="1:6" x14ac:dyDescent="0.2">
      <c r="A62" t="s">
        <v>38</v>
      </c>
      <c r="B62" s="8" t="e">
        <f>SUMPRODUCT(B3:E3,B61:E61)</f>
        <v>#NUM!</v>
      </c>
      <c r="C62" s="8" t="e">
        <f>SUMPRODUCT(B4:E4,B61:E61)</f>
        <v>#NUM!</v>
      </c>
      <c r="D62" s="8" t="e">
        <f>SUMPRODUCT(B5:E5,B61:E61)</f>
        <v>#NUM!</v>
      </c>
      <c r="E62" s="8" t="e">
        <f>SUMPRODUCT(B6:E6,B61:E61)</f>
        <v>#NUM!</v>
      </c>
    </row>
    <row r="63" spans="1:6" x14ac:dyDescent="0.2">
      <c r="A63" s="6" t="s">
        <v>39</v>
      </c>
      <c r="B63" s="15" t="e">
        <f>B62/SUM(B62:E62)</f>
        <v>#NUM!</v>
      </c>
      <c r="C63" s="15" t="e">
        <f>C62/SUM(B62:E62)</f>
        <v>#NUM!</v>
      </c>
      <c r="D63" s="15" t="e">
        <f>D62/SUM(B62:E62)</f>
        <v>#NUM!</v>
      </c>
      <c r="E63" s="15" t="e">
        <f>E62/SUM(B62:E62)</f>
        <v>#NUM!</v>
      </c>
    </row>
    <row r="64" spans="1:6" x14ac:dyDescent="0.2">
      <c r="A64" t="s">
        <v>40</v>
      </c>
      <c r="B64" s="8" t="e">
        <f>SUMPRODUCT(B3:E3,B63:E63)</f>
        <v>#NUM!</v>
      </c>
      <c r="C64" s="8" t="e">
        <f>SUMPRODUCT(B4:E4,B63:E63)</f>
        <v>#NUM!</v>
      </c>
      <c r="D64" s="8" t="e">
        <f>SUMPRODUCT(B5:E5,B63:E63)</f>
        <v>#NUM!</v>
      </c>
      <c r="E64" s="8" t="e">
        <f>SUMPRODUCT(B6:E6,B63:E63)</f>
        <v>#NUM!</v>
      </c>
    </row>
    <row r="65" spans="1:5" x14ac:dyDescent="0.2">
      <c r="A65" s="6" t="s">
        <v>41</v>
      </c>
      <c r="B65" s="15" t="e">
        <f>B64/SUM(B64:E64)</f>
        <v>#NUM!</v>
      </c>
      <c r="C65" s="15" t="e">
        <f>C64/SUM(B64:E64)</f>
        <v>#NUM!</v>
      </c>
      <c r="D65" s="15" t="e">
        <f>D64/SUM(B64:E64)</f>
        <v>#NUM!</v>
      </c>
      <c r="E65" s="15" t="e">
        <f>E64/SUM(B64:E64)</f>
        <v>#NUM!</v>
      </c>
    </row>
    <row r="66" spans="1:5" x14ac:dyDescent="0.2">
      <c r="A66" t="s">
        <v>42</v>
      </c>
      <c r="B66" s="8" t="e">
        <f>SUMPRODUCT(B3:E3,B65:E65)</f>
        <v>#NUM!</v>
      </c>
      <c r="C66" s="8" t="e">
        <f>SUMPRODUCT(B4:E4,B65:E65)</f>
        <v>#NUM!</v>
      </c>
      <c r="D66" s="8" t="e">
        <f>SUMPRODUCT(B5:E5,B65:E65)</f>
        <v>#NUM!</v>
      </c>
      <c r="E66" s="8" t="e">
        <f>SUMPRODUCT(B6:E6,B65:E65)</f>
        <v>#NUM!</v>
      </c>
    </row>
    <row r="67" spans="1:5" x14ac:dyDescent="0.2">
      <c r="A67" s="6" t="s">
        <v>43</v>
      </c>
      <c r="B67" s="15" t="e">
        <f>B66/SUM(B66:E66)</f>
        <v>#NUM!</v>
      </c>
      <c r="C67" s="15" t="e">
        <f>C66/SUM(B66:E66)</f>
        <v>#NUM!</v>
      </c>
      <c r="D67" s="15" t="e">
        <f>D66/SUM(B66:E66)</f>
        <v>#NUM!</v>
      </c>
      <c r="E67" s="15" t="e">
        <f>E66/SUM(B66:E66)</f>
        <v>#NUM!</v>
      </c>
    </row>
    <row r="68" spans="1:5" x14ac:dyDescent="0.2">
      <c r="A68" t="s">
        <v>44</v>
      </c>
      <c r="B68" s="8" t="e">
        <f>SUMPRODUCT(B3:E3,B67:E67)</f>
        <v>#NUM!</v>
      </c>
      <c r="C68" s="8" t="e">
        <f>SUMPRODUCT(B4:E4,B67:E67)</f>
        <v>#NUM!</v>
      </c>
      <c r="D68" s="8" t="e">
        <f>SUMPRODUCT(B5:E5,B67:E67)</f>
        <v>#NUM!</v>
      </c>
      <c r="E68" s="8" t="e">
        <f>SUMPRODUCT(B6:E6,B67:E67)</f>
        <v>#NUM!</v>
      </c>
    </row>
    <row r="69" spans="1:5" x14ac:dyDescent="0.2">
      <c r="A69" s="6" t="s">
        <v>45</v>
      </c>
      <c r="B69" s="9" t="e">
        <f>B68/SUM(B68:E68)</f>
        <v>#NUM!</v>
      </c>
      <c r="C69" s="9" t="e">
        <f>C68/SUM(B68:E68)</f>
        <v>#NUM!</v>
      </c>
      <c r="D69" s="9" t="e">
        <f>D68/SUM(B68:E68)</f>
        <v>#NUM!</v>
      </c>
      <c r="E69" s="9" t="e">
        <f>E68/SUM(B68:E68)</f>
        <v>#NUM!</v>
      </c>
    </row>
    <row r="71" spans="1:5" x14ac:dyDescent="0.2">
      <c r="A71" s="6" t="s">
        <v>46</v>
      </c>
    </row>
    <row r="72" spans="1:5" x14ac:dyDescent="0.2">
      <c r="A72" t="s">
        <v>47</v>
      </c>
      <c r="B72" s="8" t="e">
        <f>B69</f>
        <v>#NUM!</v>
      </c>
      <c r="C72" s="8" t="e">
        <f>C69</f>
        <v>#NUM!</v>
      </c>
      <c r="D72" s="8" t="e">
        <f>D69</f>
        <v>#NUM!</v>
      </c>
      <c r="E72" s="8" t="e">
        <f>E69</f>
        <v>#NUM!</v>
      </c>
    </row>
    <row r="73" spans="1:5" x14ac:dyDescent="0.2">
      <c r="A73" t="s">
        <v>48</v>
      </c>
      <c r="B73" s="8" t="e">
        <f>F11</f>
        <v>#NUM!</v>
      </c>
      <c r="C73" s="8" t="e">
        <f>F12</f>
        <v>#NUM!</v>
      </c>
      <c r="D73" s="8" t="e">
        <f>F13</f>
        <v>#NUM!</v>
      </c>
      <c r="E73" s="8" t="e">
        <f>F14</f>
        <v>#NUM!</v>
      </c>
    </row>
    <row r="74" spans="1:5" x14ac:dyDescent="0.2">
      <c r="A74" s="6" t="s">
        <v>49</v>
      </c>
      <c r="B74" s="15" t="e">
        <f>MAX(ABS(B72-B73),ABS(C72-C73),ABS(D72-D73),ABS(E72-E73))</f>
        <v>#NUM!</v>
      </c>
    </row>
  </sheetData>
  <mergeCells count="2">
    <mergeCell ref="A55:E55"/>
    <mergeCell ref="B1:F1"/>
  </mergeCells>
  <conditionalFormatting sqref="B26">
    <cfRule type="cellIs" dxfId="10" priority="1" operator="lessThan">
      <formula>0.1</formula>
    </cfRule>
    <cfRule type="cellIs" dxfId="9" priority="2" operator="greaterThanOrEqual">
      <formula>0.1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9"/>
  <sheetViews>
    <sheetView zoomScale="150" zoomScaleNormal="150" workbookViewId="0">
      <selection activeCell="A4" sqref="A4"/>
    </sheetView>
  </sheetViews>
  <sheetFormatPr baseColWidth="10" defaultColWidth="8.83203125" defaultRowHeight="15" x14ac:dyDescent="0.2"/>
  <cols>
    <col min="1" max="1" width="22" customWidth="1"/>
    <col min="2" max="7" width="13" customWidth="1"/>
  </cols>
  <sheetData>
    <row r="1" spans="1:6" ht="30" customHeight="1" x14ac:dyDescent="0.25">
      <c r="A1" s="1" t="s">
        <v>50</v>
      </c>
      <c r="B1" s="22" t="s">
        <v>51</v>
      </c>
      <c r="C1" s="21"/>
      <c r="D1" s="21"/>
      <c r="E1" s="21"/>
      <c r="F1" s="21"/>
    </row>
    <row r="2" spans="1:6" ht="16" x14ac:dyDescent="0.2">
      <c r="B2" s="3" t="s">
        <v>52</v>
      </c>
      <c r="C2" s="3" t="s">
        <v>53</v>
      </c>
      <c r="D2" s="3" t="s">
        <v>54</v>
      </c>
      <c r="E2" s="3" t="s">
        <v>55</v>
      </c>
    </row>
    <row r="3" spans="1:6" x14ac:dyDescent="0.2">
      <c r="A3" s="4" t="s">
        <v>52</v>
      </c>
      <c r="B3" s="5">
        <v>1</v>
      </c>
      <c r="C3" s="5">
        <f>GEOMEAN(C30,C38,C46)</f>
        <v>1.2599210498948732</v>
      </c>
      <c r="D3" s="5">
        <f>GEOMEAN(D30,D38,D46)</f>
        <v>0.43679008677135678</v>
      </c>
      <c r="E3" s="5">
        <f>GEOMEAN(E30,E38,E46)</f>
        <v>3.9148676411688634</v>
      </c>
    </row>
    <row r="4" spans="1:6" x14ac:dyDescent="0.2">
      <c r="A4" s="4" t="s">
        <v>53</v>
      </c>
      <c r="B4" s="5">
        <f>1/C3</f>
        <v>0.79370052598409968</v>
      </c>
      <c r="C4" s="5">
        <v>1</v>
      </c>
      <c r="D4" s="5">
        <f>GEOMEAN(D31,D39,D47)</f>
        <v>0.38157115980345874</v>
      </c>
      <c r="E4" s="5">
        <f>GEOMEAN(E31,E39,E47)</f>
        <v>3.556893304490063</v>
      </c>
    </row>
    <row r="5" spans="1:6" x14ac:dyDescent="0.2">
      <c r="A5" s="4" t="s">
        <v>54</v>
      </c>
      <c r="B5" s="5">
        <f>1/D3</f>
        <v>2.2894292482500007</v>
      </c>
      <c r="C5" s="5">
        <f>1/D4</f>
        <v>2.6207431413712823</v>
      </c>
      <c r="D5" s="5">
        <v>1</v>
      </c>
      <c r="E5" s="5">
        <f>GEOMEAN(E32,E40,E48)</f>
        <v>7.23042679252569</v>
      </c>
    </row>
    <row r="6" spans="1:6" x14ac:dyDescent="0.2">
      <c r="A6" s="4" t="s">
        <v>55</v>
      </c>
      <c r="B6" s="5">
        <f>1/E3</f>
        <v>0.2554364774645177</v>
      </c>
      <c r="C6" s="5">
        <f>1/E4</f>
        <v>0.28114422176724974</v>
      </c>
      <c r="D6" s="5">
        <f>1/E5</f>
        <v>0.13830442222770725</v>
      </c>
      <c r="E6" s="5">
        <v>1</v>
      </c>
    </row>
    <row r="7" spans="1:6" x14ac:dyDescent="0.2">
      <c r="A7" s="6" t="s">
        <v>13</v>
      </c>
      <c r="B7" s="7">
        <f>SUM(B3:B6)</f>
        <v>4.3385662516986176</v>
      </c>
      <c r="C7" s="7">
        <f>SUM(C3:C6)</f>
        <v>5.1618084130334054</v>
      </c>
      <c r="D7" s="7">
        <f>SUM(D3:D6)</f>
        <v>1.9566656688025228</v>
      </c>
      <c r="E7" s="7">
        <f>SUM(E3:E6)</f>
        <v>15.702187738184616</v>
      </c>
    </row>
    <row r="9" spans="1:6" x14ac:dyDescent="0.2">
      <c r="A9" s="6" t="s">
        <v>14</v>
      </c>
      <c r="F9" s="6" t="s">
        <v>15</v>
      </c>
    </row>
    <row r="10" spans="1:6" x14ac:dyDescent="0.2">
      <c r="B10" s="8">
        <f t="shared" ref="B10:E13" si="0">B3/B$7</f>
        <v>0.23049089076569573</v>
      </c>
      <c r="C10" s="8">
        <f t="shared" si="0"/>
        <v>0.24408520213838464</v>
      </c>
      <c r="D10" s="8">
        <f t="shared" si="0"/>
        <v>0.22323184473240737</v>
      </c>
      <c r="E10" s="8">
        <f t="shared" si="0"/>
        <v>0.24931988500230953</v>
      </c>
      <c r="F10" s="9">
        <f>AVERAGE(B10:E10)</f>
        <v>0.23678195565969931</v>
      </c>
    </row>
    <row r="11" spans="1:6" x14ac:dyDescent="0.2">
      <c r="B11" s="8">
        <f t="shared" si="0"/>
        <v>0.18294074123527634</v>
      </c>
      <c r="C11" s="8">
        <f t="shared" si="0"/>
        <v>0.19373055332217118</v>
      </c>
      <c r="D11" s="8">
        <f t="shared" si="0"/>
        <v>0.19501091366159651</v>
      </c>
      <c r="E11" s="8">
        <f t="shared" si="0"/>
        <v>0.22652214862011882</v>
      </c>
      <c r="F11" s="9">
        <f>AVERAGE(B11:E11)</f>
        <v>0.1995510892097907</v>
      </c>
    </row>
    <row r="12" spans="1:6" x14ac:dyDescent="0.2">
      <c r="B12" s="8">
        <f t="shared" si="0"/>
        <v>0.52769258677417974</v>
      </c>
      <c r="C12" s="8">
        <f t="shared" si="0"/>
        <v>0.50771801889314361</v>
      </c>
      <c r="D12" s="8">
        <f t="shared" si="0"/>
        <v>0.51107351447117633</v>
      </c>
      <c r="E12" s="8">
        <f t="shared" si="0"/>
        <v>0.4604725731907231</v>
      </c>
      <c r="F12" s="9">
        <f>AVERAGE(B12:E12)</f>
        <v>0.50173917333230567</v>
      </c>
    </row>
    <row r="13" spans="1:6" x14ac:dyDescent="0.2">
      <c r="B13" s="8">
        <f t="shared" si="0"/>
        <v>5.8875781224848246E-2</v>
      </c>
      <c r="C13" s="8">
        <f t="shared" si="0"/>
        <v>5.4466225646300499E-2</v>
      </c>
      <c r="D13" s="8">
        <f t="shared" si="0"/>
        <v>7.0683727134819824E-2</v>
      </c>
      <c r="E13" s="8">
        <f t="shared" si="0"/>
        <v>6.3685393186848585E-2</v>
      </c>
      <c r="F13" s="9">
        <f>AVERAGE(B13:E13)</f>
        <v>6.1927781798204282E-2</v>
      </c>
    </row>
    <row r="15" spans="1:6" ht="16" x14ac:dyDescent="0.2">
      <c r="A15" s="10" t="s">
        <v>16</v>
      </c>
    </row>
    <row r="16" spans="1:6" x14ac:dyDescent="0.2">
      <c r="A16" t="s">
        <v>56</v>
      </c>
      <c r="B16" s="8">
        <f>B3*$F$10 + C3*$F$11 + D3*$F$12 + E3*$F$13</f>
        <v>0.949794339592127</v>
      </c>
      <c r="C16" s="8">
        <f>B16/F10</f>
        <v>4.011261487159782</v>
      </c>
      <c r="D16" t="s">
        <v>18</v>
      </c>
    </row>
    <row r="17" spans="1:5" x14ac:dyDescent="0.2">
      <c r="A17" t="s">
        <v>57</v>
      </c>
      <c r="B17" s="8">
        <f>B4*$F$10 + C4*$F$11 + D4*$F$12 + E4*$F$13</f>
        <v>0.79920476268762874</v>
      </c>
      <c r="C17" s="8">
        <f>B17/F11</f>
        <v>4.0050132818238549</v>
      </c>
      <c r="D17" t="s">
        <v>18</v>
      </c>
    </row>
    <row r="18" spans="1:5" x14ac:dyDescent="0.2">
      <c r="A18" t="s">
        <v>58</v>
      </c>
      <c r="B18" s="8">
        <f>B5*$F$10 + C5*$F$11 + D5*$F$12 + E5*$F$13</f>
        <v>2.014571149192605</v>
      </c>
      <c r="C18" s="8">
        <f>B18/F12</f>
        <v>4.0151761239067918</v>
      </c>
      <c r="D18" t="s">
        <v>18</v>
      </c>
    </row>
    <row r="19" spans="1:5" x14ac:dyDescent="0.2">
      <c r="A19" t="s">
        <v>59</v>
      </c>
      <c r="B19" s="8">
        <f>B6*$F$10 + C6*$F$11 + D6*$F$12 + E6*$F$13</f>
        <v>0.24790591263450312</v>
      </c>
      <c r="C19" s="8">
        <f>B19/F13</f>
        <v>4.0031453644233652</v>
      </c>
      <c r="D19" t="s">
        <v>18</v>
      </c>
    </row>
    <row r="20" spans="1:5" x14ac:dyDescent="0.2">
      <c r="A20" t="s">
        <v>22</v>
      </c>
      <c r="B20" s="8">
        <f>AVERAGE(C16:C19)</f>
        <v>4.0086490643284485</v>
      </c>
    </row>
    <row r="21" spans="1:5" x14ac:dyDescent="0.2">
      <c r="A21" t="s">
        <v>23</v>
      </c>
      <c r="B21" s="8">
        <f>(B20-4)/(4-1)</f>
        <v>2.8830214428161582E-3</v>
      </c>
    </row>
    <row r="22" spans="1:5" x14ac:dyDescent="0.2">
      <c r="A22" t="s">
        <v>24</v>
      </c>
      <c r="B22" s="11">
        <v>0.9</v>
      </c>
    </row>
    <row r="23" spans="1:5" x14ac:dyDescent="0.2">
      <c r="A23" s="6" t="s">
        <v>25</v>
      </c>
      <c r="B23" s="9">
        <f>B21/B22</f>
        <v>3.2033571586846201E-3</v>
      </c>
    </row>
    <row r="24" spans="1:5" x14ac:dyDescent="0.2">
      <c r="A24" s="6" t="s">
        <v>26</v>
      </c>
      <c r="B24" s="6" t="str">
        <f>IF(B23&lt;0.1,"Sí, consistente","No, revisar juicios")</f>
        <v>Sí, consistente</v>
      </c>
    </row>
    <row r="26" spans="1:5" ht="16" x14ac:dyDescent="0.2">
      <c r="A26" s="10" t="s">
        <v>27</v>
      </c>
    </row>
    <row r="28" spans="1:5" x14ac:dyDescent="0.2">
      <c r="A28" s="12" t="s">
        <v>28</v>
      </c>
    </row>
    <row r="29" spans="1:5" ht="16" x14ac:dyDescent="0.2">
      <c r="B29" s="3" t="s">
        <v>52</v>
      </c>
      <c r="C29" s="3" t="s">
        <v>53</v>
      </c>
      <c r="D29" s="3" t="s">
        <v>54</v>
      </c>
      <c r="E29" s="3" t="s">
        <v>55</v>
      </c>
    </row>
    <row r="30" spans="1:5" x14ac:dyDescent="0.2">
      <c r="A30" s="4" t="s">
        <v>52</v>
      </c>
      <c r="B30" s="13">
        <v>1</v>
      </c>
      <c r="C30" s="13">
        <v>1</v>
      </c>
      <c r="D30" s="13">
        <v>0.33333299999999999</v>
      </c>
      <c r="E30" s="13">
        <v>5</v>
      </c>
    </row>
    <row r="31" spans="1:5" x14ac:dyDescent="0.2">
      <c r="A31" s="4" t="s">
        <v>53</v>
      </c>
      <c r="B31" s="13">
        <f>1/C30</f>
        <v>1</v>
      </c>
      <c r="C31" s="13">
        <v>1</v>
      </c>
      <c r="D31" s="13">
        <v>0.33333299999999999</v>
      </c>
      <c r="E31" s="13">
        <v>5</v>
      </c>
    </row>
    <row r="32" spans="1:5" x14ac:dyDescent="0.2">
      <c r="A32" s="4" t="s">
        <v>54</v>
      </c>
      <c r="B32" s="13">
        <f>1/D30</f>
        <v>3.0000030000030002</v>
      </c>
      <c r="C32" s="13">
        <f>1/D31</f>
        <v>3.0000030000030002</v>
      </c>
      <c r="D32" s="13">
        <v>1</v>
      </c>
      <c r="E32" s="13">
        <v>9</v>
      </c>
    </row>
    <row r="33" spans="1:5" x14ac:dyDescent="0.2">
      <c r="A33" s="4" t="s">
        <v>55</v>
      </c>
      <c r="B33" s="13">
        <f>1/E30</f>
        <v>0.2</v>
      </c>
      <c r="C33" s="13">
        <f>1/E31</f>
        <v>0.2</v>
      </c>
      <c r="D33" s="13">
        <f>1/E32</f>
        <v>0.1111111111111111</v>
      </c>
      <c r="E33" s="13">
        <v>1</v>
      </c>
    </row>
    <row r="36" spans="1:5" x14ac:dyDescent="0.2">
      <c r="A36" s="12" t="s">
        <v>29</v>
      </c>
    </row>
    <row r="37" spans="1:5" ht="16" x14ac:dyDescent="0.2">
      <c r="B37" s="3" t="s">
        <v>52</v>
      </c>
      <c r="C37" s="3" t="s">
        <v>53</v>
      </c>
      <c r="D37" s="3" t="s">
        <v>54</v>
      </c>
      <c r="E37" s="3" t="s">
        <v>55</v>
      </c>
    </row>
    <row r="38" spans="1:5" x14ac:dyDescent="0.2">
      <c r="A38" s="4" t="s">
        <v>52</v>
      </c>
      <c r="B38" s="13">
        <v>1</v>
      </c>
      <c r="C38" s="13">
        <v>1</v>
      </c>
      <c r="D38" s="13">
        <v>0.5</v>
      </c>
      <c r="E38" s="13">
        <v>3</v>
      </c>
    </row>
    <row r="39" spans="1:5" x14ac:dyDescent="0.2">
      <c r="A39" s="4" t="s">
        <v>53</v>
      </c>
      <c r="B39" s="13">
        <f>1/C38</f>
        <v>1</v>
      </c>
      <c r="C39" s="13">
        <v>1</v>
      </c>
      <c r="D39" s="13">
        <v>0.5</v>
      </c>
      <c r="E39" s="13">
        <v>3</v>
      </c>
    </row>
    <row r="40" spans="1:5" x14ac:dyDescent="0.2">
      <c r="A40" s="4" t="s">
        <v>54</v>
      </c>
      <c r="B40" s="13">
        <f>1/D38</f>
        <v>2</v>
      </c>
      <c r="C40" s="13">
        <f>1/D39</f>
        <v>2</v>
      </c>
      <c r="D40" s="13">
        <v>1</v>
      </c>
      <c r="E40" s="13">
        <v>6</v>
      </c>
    </row>
    <row r="41" spans="1:5" x14ac:dyDescent="0.2">
      <c r="A41" s="4" t="s">
        <v>55</v>
      </c>
      <c r="B41" s="13">
        <f>1/E38</f>
        <v>0.33333333333333331</v>
      </c>
      <c r="C41" s="13">
        <f>1/E39</f>
        <v>0.33333333333333331</v>
      </c>
      <c r="D41" s="13">
        <f>1/E40</f>
        <v>0.16666666666666666</v>
      </c>
      <c r="E41" s="13">
        <v>1</v>
      </c>
    </row>
    <row r="44" spans="1:5" x14ac:dyDescent="0.2">
      <c r="A44" s="12" t="s">
        <v>30</v>
      </c>
    </row>
    <row r="45" spans="1:5" ht="16" x14ac:dyDescent="0.2">
      <c r="B45" s="3" t="s">
        <v>52</v>
      </c>
      <c r="C45" s="3" t="s">
        <v>53</v>
      </c>
      <c r="D45" s="3" t="s">
        <v>54</v>
      </c>
      <c r="E45" s="3" t="s">
        <v>55</v>
      </c>
    </row>
    <row r="46" spans="1:5" x14ac:dyDescent="0.2">
      <c r="A46" s="4" t="s">
        <v>52</v>
      </c>
      <c r="B46" s="13">
        <v>1</v>
      </c>
      <c r="C46" s="13">
        <v>2</v>
      </c>
      <c r="D46" s="13">
        <v>0.5</v>
      </c>
      <c r="E46" s="13">
        <v>4</v>
      </c>
    </row>
    <row r="47" spans="1:5" x14ac:dyDescent="0.2">
      <c r="A47" s="4" t="s">
        <v>53</v>
      </c>
      <c r="B47" s="13">
        <f>1/C46</f>
        <v>0.5</v>
      </c>
      <c r="C47" s="13">
        <v>1</v>
      </c>
      <c r="D47" s="13">
        <v>0.33333299999999999</v>
      </c>
      <c r="E47" s="13">
        <v>3</v>
      </c>
    </row>
    <row r="48" spans="1:5" x14ac:dyDescent="0.2">
      <c r="A48" s="4" t="s">
        <v>54</v>
      </c>
      <c r="B48" s="13">
        <f>1/D46</f>
        <v>2</v>
      </c>
      <c r="C48" s="13">
        <f>1/D47</f>
        <v>3.0000030000030002</v>
      </c>
      <c r="D48" s="13">
        <v>1</v>
      </c>
      <c r="E48" s="13">
        <v>7</v>
      </c>
    </row>
    <row r="49" spans="1:5" x14ac:dyDescent="0.2">
      <c r="A49" s="4" t="s">
        <v>55</v>
      </c>
      <c r="B49" s="13">
        <f>1/E46</f>
        <v>0.25</v>
      </c>
      <c r="C49" s="13">
        <f>1/E47</f>
        <v>0.33333333333333331</v>
      </c>
      <c r="D49" s="13">
        <f>1/E48</f>
        <v>0.14285714285714285</v>
      </c>
      <c r="E49" s="13">
        <v>1</v>
      </c>
    </row>
  </sheetData>
  <mergeCells count="1">
    <mergeCell ref="B1:F1"/>
  </mergeCells>
  <conditionalFormatting sqref="B24">
    <cfRule type="cellIs" dxfId="8" priority="1" operator="lessThan">
      <formula>0.1</formula>
    </cfRule>
    <cfRule type="cellIs" dxfId="7" priority="2" operator="greaterThanOrEqual">
      <formula>0.1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9"/>
  <sheetViews>
    <sheetView zoomScale="150" zoomScaleNormal="150" workbookViewId="0">
      <selection activeCell="L26" sqref="L26"/>
    </sheetView>
  </sheetViews>
  <sheetFormatPr baseColWidth="10" defaultColWidth="8.83203125" defaultRowHeight="15" x14ac:dyDescent="0.2"/>
  <cols>
    <col min="1" max="1" width="22" customWidth="1"/>
    <col min="2" max="7" width="13" customWidth="1"/>
  </cols>
  <sheetData>
    <row r="1" spans="1:6" ht="30" customHeight="1" x14ac:dyDescent="0.25">
      <c r="A1" s="1" t="s">
        <v>60</v>
      </c>
      <c r="B1" s="22" t="s">
        <v>61</v>
      </c>
      <c r="C1" s="21"/>
      <c r="D1" s="21"/>
      <c r="E1" s="21"/>
      <c r="F1" s="21"/>
    </row>
    <row r="2" spans="1:6" ht="16" x14ac:dyDescent="0.2">
      <c r="B2" s="3" t="s">
        <v>52</v>
      </c>
      <c r="C2" s="3" t="s">
        <v>53</v>
      </c>
      <c r="D2" s="3" t="s">
        <v>54</v>
      </c>
      <c r="E2" s="3" t="s">
        <v>55</v>
      </c>
    </row>
    <row r="3" spans="1:6" x14ac:dyDescent="0.2">
      <c r="A3" s="4" t="s">
        <v>52</v>
      </c>
      <c r="B3" s="5">
        <v>1</v>
      </c>
      <c r="C3" s="5">
        <f>GEOMEAN(C30,C38,C46)</f>
        <v>6.8040921159533667</v>
      </c>
      <c r="D3" s="5">
        <f>GEOMEAN(D30,D38,D46)</f>
        <v>2.8844991406148166</v>
      </c>
      <c r="E3" s="5">
        <f>GEOMEAN(E30,E38,E46)</f>
        <v>3.9148676411688634</v>
      </c>
    </row>
    <row r="4" spans="1:6" x14ac:dyDescent="0.2">
      <c r="A4" s="4" t="s">
        <v>53</v>
      </c>
      <c r="B4" s="5">
        <f>1/C3</f>
        <v>0.14697037943612309</v>
      </c>
      <c r="C4" s="5">
        <v>1</v>
      </c>
      <c r="D4" s="5">
        <f>GEOMEAN(D31,D39,D47)</f>
        <v>0.34668052161506646</v>
      </c>
      <c r="E4" s="5">
        <f>GEOMEAN(E31,E39,E47)</f>
        <v>0.34668052161506646</v>
      </c>
    </row>
    <row r="5" spans="1:6" x14ac:dyDescent="0.2">
      <c r="A5" s="4" t="s">
        <v>54</v>
      </c>
      <c r="B5" s="5">
        <f>1/D3</f>
        <v>0.34668063717531739</v>
      </c>
      <c r="C5" s="5">
        <f>1/D4</f>
        <v>2.884500102115171</v>
      </c>
      <c r="D5" s="5">
        <v>1</v>
      </c>
      <c r="E5" s="5">
        <f>GEOMEAN(E32,E40,E48)</f>
        <v>1</v>
      </c>
    </row>
    <row r="6" spans="1:6" x14ac:dyDescent="0.2">
      <c r="A6" s="4" t="s">
        <v>55</v>
      </c>
      <c r="B6" s="5">
        <f>1/E3</f>
        <v>0.2554364774645177</v>
      </c>
      <c r="C6" s="5">
        <f>1/E4</f>
        <v>2.884500102115171</v>
      </c>
      <c r="D6" s="5">
        <f>1/E5</f>
        <v>1</v>
      </c>
      <c r="E6" s="5">
        <v>1</v>
      </c>
    </row>
    <row r="7" spans="1:6" x14ac:dyDescent="0.2">
      <c r="A7" s="6" t="s">
        <v>13</v>
      </c>
      <c r="B7" s="7">
        <f>SUM(B3:B6)</f>
        <v>1.7490874940759582</v>
      </c>
      <c r="C7" s="7">
        <f>SUM(C3:C6)</f>
        <v>13.573092320183708</v>
      </c>
      <c r="D7" s="7">
        <f>SUM(D3:D6)</f>
        <v>5.2311796622298825</v>
      </c>
      <c r="E7" s="7">
        <f>SUM(E3:E6)</f>
        <v>6.2615481627839298</v>
      </c>
    </row>
    <row r="9" spans="1:6" x14ac:dyDescent="0.2">
      <c r="A9" s="6" t="s">
        <v>14</v>
      </c>
      <c r="F9" s="6" t="s">
        <v>15</v>
      </c>
    </row>
    <row r="10" spans="1:6" x14ac:dyDescent="0.2">
      <c r="B10" s="8">
        <f t="shared" ref="B10:E13" si="0">B3/B$7</f>
        <v>0.57172668799412996</v>
      </c>
      <c r="C10" s="8">
        <f t="shared" si="0"/>
        <v>0.50129270143071381</v>
      </c>
      <c r="D10" s="8">
        <f t="shared" si="0"/>
        <v>0.55140509920572067</v>
      </c>
      <c r="E10" s="8">
        <f t="shared" si="0"/>
        <v>0.62522359317416554</v>
      </c>
      <c r="F10" s="9">
        <f>AVERAGE(B10:E10)</f>
        <v>0.56241202045118255</v>
      </c>
    </row>
    <row r="11" spans="1:6" x14ac:dyDescent="0.2">
      <c r="B11" s="8">
        <f t="shared" si="0"/>
        <v>8.4026888268255245E-2</v>
      </c>
      <c r="C11" s="8">
        <f t="shared" si="0"/>
        <v>7.367517853783119E-2</v>
      </c>
      <c r="D11" s="8">
        <f t="shared" si="0"/>
        <v>6.6271958525562807E-2</v>
      </c>
      <c r="E11" s="8">
        <f t="shared" si="0"/>
        <v>5.5366582289599411E-2</v>
      </c>
      <c r="F11" s="9">
        <f>AVERAGE(B11:E11)</f>
        <v>6.9835151905312171E-2</v>
      </c>
    </row>
    <row r="12" spans="1:6" x14ac:dyDescent="0.2">
      <c r="B12" s="8">
        <f t="shared" si="0"/>
        <v>0.19820657248393886</v>
      </c>
      <c r="C12" s="8">
        <f t="shared" si="0"/>
        <v>0.21251606001572751</v>
      </c>
      <c r="D12" s="8">
        <f t="shared" si="0"/>
        <v>0.19116147113435833</v>
      </c>
      <c r="E12" s="8">
        <f t="shared" si="0"/>
        <v>0.15970491226811753</v>
      </c>
      <c r="F12" s="9">
        <f>AVERAGE(B12:E12)</f>
        <v>0.19039725397553556</v>
      </c>
    </row>
    <row r="13" spans="1:6" x14ac:dyDescent="0.2">
      <c r="B13" s="8">
        <f t="shared" si="0"/>
        <v>0.14603985125367591</v>
      </c>
      <c r="C13" s="8">
        <f t="shared" si="0"/>
        <v>0.21251606001572751</v>
      </c>
      <c r="D13" s="8">
        <f t="shared" si="0"/>
        <v>0.19116147113435833</v>
      </c>
      <c r="E13" s="8">
        <f t="shared" si="0"/>
        <v>0.15970491226811753</v>
      </c>
      <c r="F13" s="9">
        <f>AVERAGE(B13:E13)</f>
        <v>0.17735557366796983</v>
      </c>
    </row>
    <row r="15" spans="1:6" ht="16" x14ac:dyDescent="0.2">
      <c r="A15" s="10" t="s">
        <v>16</v>
      </c>
    </row>
    <row r="16" spans="1:6" x14ac:dyDescent="0.2">
      <c r="A16" t="s">
        <v>56</v>
      </c>
      <c r="B16" s="8">
        <f>B3*$F$10 + C3*$F$11 + D3*$F$12 + E3*$F$13</f>
        <v>2.2811011387480518</v>
      </c>
      <c r="C16" s="8">
        <f>B16/F10</f>
        <v>4.0559252928450729</v>
      </c>
      <c r="D16" t="s">
        <v>18</v>
      </c>
    </row>
    <row r="17" spans="1:5" x14ac:dyDescent="0.2">
      <c r="A17" t="s">
        <v>57</v>
      </c>
      <c r="B17" s="8">
        <f>B4*$F$10 + C4*$F$11 + D4*$F$12 + E4*$F$13</f>
        <v>0.27998580206332518</v>
      </c>
      <c r="C17" s="8">
        <f>B17/F11</f>
        <v>4.0092388206293483</v>
      </c>
      <c r="D17" t="s">
        <v>18</v>
      </c>
    </row>
    <row r="18" spans="1:5" x14ac:dyDescent="0.2">
      <c r="A18" t="s">
        <v>58</v>
      </c>
      <c r="B18" s="8">
        <f>B5*$F$10 + C5*$F$11 + D5*$F$12 + E5*$F$13</f>
        <v>0.76416968805068042</v>
      </c>
      <c r="C18" s="8">
        <f>B18/F12</f>
        <v>4.0135541458432469</v>
      </c>
      <c r="D18" t="s">
        <v>18</v>
      </c>
    </row>
    <row r="19" spans="1:5" x14ac:dyDescent="0.2">
      <c r="A19" t="s">
        <v>59</v>
      </c>
      <c r="B19" s="8">
        <f>B6*$F$10 + C6*$F$11 + D6*$F$12 + E6*$F$13</f>
        <v>0.71285287583335921</v>
      </c>
      <c r="C19" s="8">
        <f>B19/F13</f>
        <v>4.0193429565845067</v>
      </c>
      <c r="D19" t="s">
        <v>18</v>
      </c>
    </row>
    <row r="20" spans="1:5" x14ac:dyDescent="0.2">
      <c r="A20" t="s">
        <v>22</v>
      </c>
      <c r="B20" s="8">
        <f>AVERAGE(C16:C19)</f>
        <v>4.0245153039755435</v>
      </c>
    </row>
    <row r="21" spans="1:5" x14ac:dyDescent="0.2">
      <c r="A21" t="s">
        <v>23</v>
      </c>
      <c r="B21" s="8">
        <f>(B20-4)/(4-1)</f>
        <v>8.1717679918478225E-3</v>
      </c>
    </row>
    <row r="22" spans="1:5" x14ac:dyDescent="0.2">
      <c r="A22" t="s">
        <v>24</v>
      </c>
      <c r="B22" s="11">
        <v>0.9</v>
      </c>
    </row>
    <row r="23" spans="1:5" x14ac:dyDescent="0.2">
      <c r="A23" s="6" t="s">
        <v>25</v>
      </c>
      <c r="B23" s="9">
        <f>B21/B22</f>
        <v>9.0797422131642467E-3</v>
      </c>
    </row>
    <row r="24" spans="1:5" x14ac:dyDescent="0.2">
      <c r="A24" s="6" t="s">
        <v>26</v>
      </c>
      <c r="B24" s="6" t="str">
        <f>IF(B23&lt;0.1,"Sí, consistente","No, revisar juicios")</f>
        <v>Sí, consistente</v>
      </c>
    </row>
    <row r="26" spans="1:5" ht="16" x14ac:dyDescent="0.2">
      <c r="A26" s="10" t="s">
        <v>27</v>
      </c>
    </row>
    <row r="28" spans="1:5" x14ac:dyDescent="0.2">
      <c r="A28" s="12" t="s">
        <v>28</v>
      </c>
    </row>
    <row r="29" spans="1:5" ht="16" x14ac:dyDescent="0.2">
      <c r="B29" s="3" t="s">
        <v>52</v>
      </c>
      <c r="C29" s="3" t="s">
        <v>53</v>
      </c>
      <c r="D29" s="3" t="s">
        <v>54</v>
      </c>
      <c r="E29" s="3" t="s">
        <v>55</v>
      </c>
    </row>
    <row r="30" spans="1:5" x14ac:dyDescent="0.2">
      <c r="A30" s="4" t="s">
        <v>52</v>
      </c>
      <c r="B30" s="13">
        <v>1</v>
      </c>
      <c r="C30" s="13">
        <v>5</v>
      </c>
      <c r="D30" s="13">
        <v>2</v>
      </c>
      <c r="E30" s="13">
        <v>3</v>
      </c>
    </row>
    <row r="31" spans="1:5" x14ac:dyDescent="0.2">
      <c r="A31" s="4" t="s">
        <v>53</v>
      </c>
      <c r="B31" s="13">
        <f>1/C30</f>
        <v>0.2</v>
      </c>
      <c r="C31" s="13">
        <v>1</v>
      </c>
      <c r="D31" s="13">
        <v>0.5</v>
      </c>
      <c r="E31" s="13">
        <v>0.5</v>
      </c>
    </row>
    <row r="32" spans="1:5" x14ac:dyDescent="0.2">
      <c r="A32" s="4" t="s">
        <v>54</v>
      </c>
      <c r="B32" s="13">
        <f>1/D30</f>
        <v>0.5</v>
      </c>
      <c r="C32" s="13">
        <f>1/D31</f>
        <v>2</v>
      </c>
      <c r="D32" s="13">
        <v>1</v>
      </c>
      <c r="E32" s="13">
        <v>1</v>
      </c>
    </row>
    <row r="33" spans="1:5" x14ac:dyDescent="0.2">
      <c r="A33" s="4" t="s">
        <v>55</v>
      </c>
      <c r="B33" s="13">
        <f>1/E30</f>
        <v>0.33333333333333331</v>
      </c>
      <c r="C33" s="13">
        <f>1/E31</f>
        <v>2</v>
      </c>
      <c r="D33" s="13">
        <f>1/E32</f>
        <v>1</v>
      </c>
      <c r="E33" s="13">
        <v>1</v>
      </c>
    </row>
    <row r="36" spans="1:5" x14ac:dyDescent="0.2">
      <c r="A36" s="12" t="s">
        <v>29</v>
      </c>
    </row>
    <row r="37" spans="1:5" ht="16" x14ac:dyDescent="0.2">
      <c r="B37" s="3" t="s">
        <v>52</v>
      </c>
      <c r="C37" s="3" t="s">
        <v>53</v>
      </c>
      <c r="D37" s="3" t="s">
        <v>54</v>
      </c>
      <c r="E37" s="3" t="s">
        <v>55</v>
      </c>
    </row>
    <row r="38" spans="1:5" x14ac:dyDescent="0.2">
      <c r="A38" s="4" t="s">
        <v>52</v>
      </c>
      <c r="B38" s="13">
        <v>1</v>
      </c>
      <c r="C38" s="13">
        <v>7</v>
      </c>
      <c r="D38" s="13">
        <v>3</v>
      </c>
      <c r="E38" s="13">
        <v>4</v>
      </c>
    </row>
    <row r="39" spans="1:5" x14ac:dyDescent="0.2">
      <c r="A39" s="4" t="s">
        <v>53</v>
      </c>
      <c r="B39" s="13">
        <f>1/C38</f>
        <v>0.14285714285714285</v>
      </c>
      <c r="C39" s="13">
        <v>1</v>
      </c>
      <c r="D39" s="13">
        <v>0.33333299999999999</v>
      </c>
      <c r="E39" s="13">
        <v>0.33333299999999999</v>
      </c>
    </row>
    <row r="40" spans="1:5" x14ac:dyDescent="0.2">
      <c r="A40" s="4" t="s">
        <v>54</v>
      </c>
      <c r="B40" s="13">
        <f>1/D38</f>
        <v>0.33333333333333331</v>
      </c>
      <c r="C40" s="13">
        <f>1/D39</f>
        <v>3.0000030000030002</v>
      </c>
      <c r="D40" s="13">
        <v>1</v>
      </c>
      <c r="E40" s="13">
        <v>1</v>
      </c>
    </row>
    <row r="41" spans="1:5" x14ac:dyDescent="0.2">
      <c r="A41" s="4" t="s">
        <v>55</v>
      </c>
      <c r="B41" s="13">
        <f>1/E38</f>
        <v>0.25</v>
      </c>
      <c r="C41" s="13">
        <f>1/E39</f>
        <v>3.0000030000030002</v>
      </c>
      <c r="D41" s="13">
        <f>1/E40</f>
        <v>1</v>
      </c>
      <c r="E41" s="13">
        <v>1</v>
      </c>
    </row>
    <row r="44" spans="1:5" x14ac:dyDescent="0.2">
      <c r="A44" s="12" t="s">
        <v>30</v>
      </c>
    </row>
    <row r="45" spans="1:5" ht="16" x14ac:dyDescent="0.2">
      <c r="B45" s="3" t="s">
        <v>52</v>
      </c>
      <c r="C45" s="3" t="s">
        <v>53</v>
      </c>
      <c r="D45" s="3" t="s">
        <v>54</v>
      </c>
      <c r="E45" s="3" t="s">
        <v>55</v>
      </c>
    </row>
    <row r="46" spans="1:5" x14ac:dyDescent="0.2">
      <c r="A46" s="4" t="s">
        <v>52</v>
      </c>
      <c r="B46" s="13">
        <v>1</v>
      </c>
      <c r="C46" s="13">
        <v>9</v>
      </c>
      <c r="D46" s="13">
        <v>4</v>
      </c>
      <c r="E46" s="13">
        <v>5</v>
      </c>
    </row>
    <row r="47" spans="1:5" x14ac:dyDescent="0.2">
      <c r="A47" s="4" t="s">
        <v>53</v>
      </c>
      <c r="B47" s="13">
        <f>1/C46</f>
        <v>0.1111111111111111</v>
      </c>
      <c r="C47" s="13">
        <v>1</v>
      </c>
      <c r="D47" s="13">
        <v>0.25</v>
      </c>
      <c r="E47" s="13">
        <v>0.25</v>
      </c>
    </row>
    <row r="48" spans="1:5" x14ac:dyDescent="0.2">
      <c r="A48" s="4" t="s">
        <v>54</v>
      </c>
      <c r="B48" s="13">
        <f>1/D46</f>
        <v>0.25</v>
      </c>
      <c r="C48" s="13">
        <f>1/D47</f>
        <v>4</v>
      </c>
      <c r="D48" s="13">
        <v>1</v>
      </c>
      <c r="E48" s="13">
        <v>1</v>
      </c>
    </row>
    <row r="49" spans="1:5" x14ac:dyDescent="0.2">
      <c r="A49" s="4" t="s">
        <v>55</v>
      </c>
      <c r="B49" s="13">
        <f>1/E46</f>
        <v>0.2</v>
      </c>
      <c r="C49" s="13">
        <f>1/E47</f>
        <v>4</v>
      </c>
      <c r="D49" s="13">
        <f>1/E48</f>
        <v>1</v>
      </c>
      <c r="E49" s="13">
        <v>1</v>
      </c>
    </row>
  </sheetData>
  <mergeCells count="1">
    <mergeCell ref="B1:F1"/>
  </mergeCells>
  <conditionalFormatting sqref="B24">
    <cfRule type="cellIs" dxfId="6" priority="1" operator="lessThan">
      <formula>0.1</formula>
    </cfRule>
    <cfRule type="cellIs" dxfId="5" priority="2" operator="greaterThanOrEqual">
      <formula>0.1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9"/>
  <sheetViews>
    <sheetView zoomScale="150" zoomScaleNormal="150" workbookViewId="0">
      <selection activeCell="C16" sqref="C16"/>
    </sheetView>
  </sheetViews>
  <sheetFormatPr baseColWidth="10" defaultColWidth="8.83203125" defaultRowHeight="15" x14ac:dyDescent="0.2"/>
  <cols>
    <col min="1" max="1" width="22" customWidth="1"/>
    <col min="2" max="7" width="13" customWidth="1"/>
  </cols>
  <sheetData>
    <row r="1" spans="1:6" ht="33" customHeight="1" x14ac:dyDescent="0.25">
      <c r="A1" s="1" t="s">
        <v>62</v>
      </c>
      <c r="B1" s="22" t="s">
        <v>63</v>
      </c>
      <c r="C1" s="21"/>
      <c r="D1" s="21"/>
      <c r="E1" s="21"/>
      <c r="F1" s="21"/>
    </row>
    <row r="2" spans="1:6" ht="16" x14ac:dyDescent="0.2">
      <c r="B2" s="3" t="s">
        <v>52</v>
      </c>
      <c r="C2" s="3" t="s">
        <v>53</v>
      </c>
      <c r="D2" s="3" t="s">
        <v>54</v>
      </c>
      <c r="E2" s="3" t="s">
        <v>55</v>
      </c>
    </row>
    <row r="3" spans="1:6" x14ac:dyDescent="0.2">
      <c r="A3" s="4" t="s">
        <v>52</v>
      </c>
      <c r="B3" s="5">
        <v>1</v>
      </c>
      <c r="C3" s="5">
        <f>GEOMEAN(C30,C38,C46)</f>
        <v>0.34668052161506646</v>
      </c>
      <c r="D3" s="5">
        <f>GEOMEAN(D30,D38,D46)</f>
        <v>0.16465838411592276</v>
      </c>
      <c r="E3" s="5">
        <f>GEOMEAN(E30,E38,E46)</f>
        <v>1</v>
      </c>
    </row>
    <row r="4" spans="1:6" x14ac:dyDescent="0.2">
      <c r="A4" s="4" t="s">
        <v>53</v>
      </c>
      <c r="B4" s="5">
        <f>1/C3</f>
        <v>2.884500102115171</v>
      </c>
      <c r="C4" s="5">
        <v>1</v>
      </c>
      <c r="D4" s="5">
        <f>GEOMEAN(D31,D39,D47)</f>
        <v>0.5</v>
      </c>
      <c r="E4" s="5">
        <f>GEOMEAN(E31,E39,E47)</f>
        <v>2.8844991406148166</v>
      </c>
    </row>
    <row r="5" spans="1:6" x14ac:dyDescent="0.2">
      <c r="A5" s="4" t="s">
        <v>54</v>
      </c>
      <c r="B5" s="5">
        <f>1/D3</f>
        <v>6.0731799681453218</v>
      </c>
      <c r="C5" s="5">
        <f>1/D4</f>
        <v>2</v>
      </c>
      <c r="D5" s="5">
        <v>1</v>
      </c>
      <c r="E5" s="5">
        <f>GEOMEAN(E32,E40,E48)</f>
        <v>5.7689982812296332</v>
      </c>
    </row>
    <row r="6" spans="1:6" x14ac:dyDescent="0.2">
      <c r="A6" s="4" t="s">
        <v>55</v>
      </c>
      <c r="B6" s="5">
        <f>1/E3</f>
        <v>1</v>
      </c>
      <c r="C6" s="5">
        <f>1/E4</f>
        <v>0.34668063717531739</v>
      </c>
      <c r="D6" s="5">
        <f>1/E5</f>
        <v>0.17334031858765869</v>
      </c>
      <c r="E6" s="5">
        <v>1</v>
      </c>
    </row>
    <row r="7" spans="1:6" x14ac:dyDescent="0.2">
      <c r="A7" s="6" t="s">
        <v>13</v>
      </c>
      <c r="B7" s="7">
        <f>SUM(B3:B6)</f>
        <v>10.957680070260492</v>
      </c>
      <c r="C7" s="7">
        <f>SUM(C3:C6)</f>
        <v>3.6933611587903838</v>
      </c>
      <c r="D7" s="7">
        <f>SUM(D3:D6)</f>
        <v>1.8379987027035816</v>
      </c>
      <c r="E7" s="7">
        <f>SUM(E3:E6)</f>
        <v>10.653497421844449</v>
      </c>
    </row>
    <row r="9" spans="1:6" x14ac:dyDescent="0.2">
      <c r="A9" s="6" t="s">
        <v>14</v>
      </c>
      <c r="F9" s="6" t="s">
        <v>15</v>
      </c>
    </row>
    <row r="10" spans="1:6" x14ac:dyDescent="0.2">
      <c r="B10" s="8">
        <f t="shared" ref="B10:E13" si="0">B3/B$7</f>
        <v>9.12601931784843E-2</v>
      </c>
      <c r="C10" s="8">
        <f t="shared" si="0"/>
        <v>9.3865860041861746E-2</v>
      </c>
      <c r="D10" s="8">
        <f t="shared" si="0"/>
        <v>8.9585691150772057E-2</v>
      </c>
      <c r="E10" s="8">
        <f t="shared" si="0"/>
        <v>9.3865888393566549E-2</v>
      </c>
      <c r="F10" s="9">
        <f>AVERAGE(B10:E10)</f>
        <v>9.2144408191171173E-2</v>
      </c>
    </row>
    <row r="11" spans="1:6" x14ac:dyDescent="0.2">
      <c r="B11" s="8">
        <f t="shared" si="0"/>
        <v>0.2632400365423882</v>
      </c>
      <c r="C11" s="8">
        <f t="shared" si="0"/>
        <v>0.27075608287587855</v>
      </c>
      <c r="D11" s="8">
        <f t="shared" si="0"/>
        <v>0.27203501246466122</v>
      </c>
      <c r="E11" s="8">
        <f t="shared" si="0"/>
        <v>0.270756074404289</v>
      </c>
      <c r="F11" s="9">
        <f>AVERAGE(B11:E11)</f>
        <v>0.26919680157180426</v>
      </c>
    </row>
    <row r="12" spans="1:6" x14ac:dyDescent="0.2">
      <c r="B12" s="8">
        <f t="shared" si="0"/>
        <v>0.5542395771006432</v>
      </c>
      <c r="C12" s="8">
        <f t="shared" si="0"/>
        <v>0.54151216575175709</v>
      </c>
      <c r="D12" s="8">
        <f t="shared" si="0"/>
        <v>0.54407002492932244</v>
      </c>
      <c r="E12" s="8">
        <f t="shared" si="0"/>
        <v>0.54151214880857801</v>
      </c>
      <c r="F12" s="9">
        <f>AVERAGE(B12:E12)</f>
        <v>0.54533347914757524</v>
      </c>
    </row>
    <row r="13" spans="1:6" x14ac:dyDescent="0.2">
      <c r="B13" s="8">
        <f t="shared" si="0"/>
        <v>9.12601931784843E-2</v>
      </c>
      <c r="C13" s="8">
        <f t="shared" si="0"/>
        <v>9.3865891330502618E-2</v>
      </c>
      <c r="D13" s="8">
        <f t="shared" si="0"/>
        <v>9.4309271455244162E-2</v>
      </c>
      <c r="E13" s="8">
        <f t="shared" si="0"/>
        <v>9.3865888393566549E-2</v>
      </c>
      <c r="F13" s="9">
        <f>AVERAGE(B13:E13)</f>
        <v>9.3325311089449414E-2</v>
      </c>
    </row>
    <row r="15" spans="1:6" ht="16" x14ac:dyDescent="0.2">
      <c r="A15" s="10" t="s">
        <v>16</v>
      </c>
    </row>
    <row r="16" spans="1:6" x14ac:dyDescent="0.2">
      <c r="A16" t="s">
        <v>56</v>
      </c>
      <c r="B16" s="8">
        <f>B3*$F$10 + C3*$F$11 + D3*$F$12 + E3*$F$13</f>
        <v>0.3685887363473952</v>
      </c>
      <c r="C16" s="8">
        <f>B16/F10</f>
        <v>4.000120501969989</v>
      </c>
      <c r="D16" t="s">
        <v>18</v>
      </c>
    </row>
    <row r="17" spans="1:5" x14ac:dyDescent="0.2">
      <c r="A17" t="s">
        <v>57</v>
      </c>
      <c r="B17" s="8">
        <f>B4*$F$10 + C4*$F$11 + D4*$F$12 + E4*$F$13</f>
        <v>1.0768508756174944</v>
      </c>
      <c r="C17" s="8">
        <f>B17/F11</f>
        <v>4.0002365159240583</v>
      </c>
      <c r="D17" t="s">
        <v>18</v>
      </c>
    </row>
    <row r="18" spans="1:5" x14ac:dyDescent="0.2">
      <c r="A18" t="s">
        <v>58</v>
      </c>
      <c r="B18" s="8">
        <f>B5*$F$10 + C5*$F$11 + D5*$F$12 + E5*$F$13</f>
        <v>2.1817302155646647</v>
      </c>
      <c r="C18" s="8">
        <f>B18/F12</f>
        <v>4.0007267094163801</v>
      </c>
      <c r="D18" t="s">
        <v>18</v>
      </c>
    </row>
    <row r="19" spans="1:5" x14ac:dyDescent="0.2">
      <c r="A19" t="s">
        <v>59</v>
      </c>
      <c r="B19" s="8">
        <f>B6*$F$10 + C6*$F$11 + D6*$F$12 + E6*$F$13</f>
        <v>0.37332331698704818</v>
      </c>
      <c r="C19" s="8">
        <f>B19/F13</f>
        <v>4.0002365127851478</v>
      </c>
      <c r="D19" t="s">
        <v>18</v>
      </c>
    </row>
    <row r="20" spans="1:5" x14ac:dyDescent="0.2">
      <c r="A20" t="s">
        <v>22</v>
      </c>
      <c r="B20" s="8">
        <f>AVERAGE(C16:C19)</f>
        <v>4.0003300600238934</v>
      </c>
    </row>
    <row r="21" spans="1:5" x14ac:dyDescent="0.2">
      <c r="A21" t="s">
        <v>23</v>
      </c>
      <c r="B21" s="8">
        <f>(B20-4)/(4-1)</f>
        <v>1.1002000796445088E-4</v>
      </c>
    </row>
    <row r="22" spans="1:5" x14ac:dyDescent="0.2">
      <c r="A22" t="s">
        <v>24</v>
      </c>
      <c r="B22" s="11">
        <v>0.9</v>
      </c>
    </row>
    <row r="23" spans="1:5" x14ac:dyDescent="0.2">
      <c r="A23" s="6" t="s">
        <v>25</v>
      </c>
      <c r="B23" s="9">
        <f>B21/B22</f>
        <v>1.222444532938343E-4</v>
      </c>
    </row>
    <row r="24" spans="1:5" x14ac:dyDescent="0.2">
      <c r="A24" s="6" t="s">
        <v>26</v>
      </c>
      <c r="B24" s="6" t="str">
        <f>IF(B23&lt;0.1,"Sí, consistente","No, revisar juicios")</f>
        <v>Sí, consistente</v>
      </c>
    </row>
    <row r="26" spans="1:5" ht="16" x14ac:dyDescent="0.2">
      <c r="A26" s="10" t="s">
        <v>27</v>
      </c>
    </row>
    <row r="28" spans="1:5" x14ac:dyDescent="0.2">
      <c r="A28" s="12" t="s">
        <v>28</v>
      </c>
    </row>
    <row r="29" spans="1:5" ht="16" x14ac:dyDescent="0.2">
      <c r="B29" s="3" t="s">
        <v>52</v>
      </c>
      <c r="C29" s="3" t="s">
        <v>53</v>
      </c>
      <c r="D29" s="3" t="s">
        <v>54</v>
      </c>
      <c r="E29" s="3" t="s">
        <v>55</v>
      </c>
    </row>
    <row r="30" spans="1:5" x14ac:dyDescent="0.2">
      <c r="A30" s="4" t="s">
        <v>52</v>
      </c>
      <c r="B30" s="13">
        <v>1</v>
      </c>
      <c r="C30" s="13">
        <v>0.25</v>
      </c>
      <c r="D30" s="13">
        <v>0.125</v>
      </c>
      <c r="E30" s="13">
        <v>1</v>
      </c>
    </row>
    <row r="31" spans="1:5" x14ac:dyDescent="0.2">
      <c r="A31" s="4" t="s">
        <v>53</v>
      </c>
      <c r="B31" s="13">
        <f>1/C30</f>
        <v>4</v>
      </c>
      <c r="C31" s="13">
        <v>1</v>
      </c>
      <c r="D31" s="13">
        <v>0.5</v>
      </c>
      <c r="E31" s="13">
        <v>4</v>
      </c>
    </row>
    <row r="32" spans="1:5" x14ac:dyDescent="0.2">
      <c r="A32" s="4" t="s">
        <v>54</v>
      </c>
      <c r="B32" s="13">
        <f>1/D30</f>
        <v>8</v>
      </c>
      <c r="C32" s="13">
        <f>1/D31</f>
        <v>2</v>
      </c>
      <c r="D32" s="13">
        <v>1</v>
      </c>
      <c r="E32" s="13">
        <v>8</v>
      </c>
    </row>
    <row r="33" spans="1:5" x14ac:dyDescent="0.2">
      <c r="A33" s="4" t="s">
        <v>55</v>
      </c>
      <c r="B33" s="13">
        <f>1/E30</f>
        <v>1</v>
      </c>
      <c r="C33" s="13">
        <f>1/E31</f>
        <v>0.25</v>
      </c>
      <c r="D33" s="13">
        <f>1/E32</f>
        <v>0.125</v>
      </c>
      <c r="E33" s="13">
        <v>1</v>
      </c>
    </row>
    <row r="36" spans="1:5" x14ac:dyDescent="0.2">
      <c r="A36" s="12" t="s">
        <v>29</v>
      </c>
    </row>
    <row r="37" spans="1:5" ht="16" x14ac:dyDescent="0.2">
      <c r="B37" s="3" t="s">
        <v>52</v>
      </c>
      <c r="C37" s="3" t="s">
        <v>53</v>
      </c>
      <c r="D37" s="3" t="s">
        <v>54</v>
      </c>
      <c r="E37" s="3" t="s">
        <v>55</v>
      </c>
    </row>
    <row r="38" spans="1:5" x14ac:dyDescent="0.2">
      <c r="A38" s="4" t="s">
        <v>52</v>
      </c>
      <c r="B38" s="13">
        <v>1</v>
      </c>
      <c r="C38" s="13">
        <v>0.5</v>
      </c>
      <c r="D38" s="13">
        <v>0.25</v>
      </c>
      <c r="E38" s="13">
        <v>1</v>
      </c>
    </row>
    <row r="39" spans="1:5" x14ac:dyDescent="0.2">
      <c r="A39" s="4" t="s">
        <v>53</v>
      </c>
      <c r="B39" s="13">
        <f>1/C38</f>
        <v>2</v>
      </c>
      <c r="C39" s="13">
        <v>1</v>
      </c>
      <c r="D39" s="13">
        <v>0.5</v>
      </c>
      <c r="E39" s="13">
        <v>2</v>
      </c>
    </row>
    <row r="40" spans="1:5" x14ac:dyDescent="0.2">
      <c r="A40" s="4" t="s">
        <v>54</v>
      </c>
      <c r="B40" s="13">
        <f>1/D38</f>
        <v>4</v>
      </c>
      <c r="C40" s="13">
        <f>1/D39</f>
        <v>2</v>
      </c>
      <c r="D40" s="13">
        <v>1</v>
      </c>
      <c r="E40" s="13">
        <v>4</v>
      </c>
    </row>
    <row r="41" spans="1:5" x14ac:dyDescent="0.2">
      <c r="A41" s="4" t="s">
        <v>55</v>
      </c>
      <c r="B41" s="13">
        <f>1/E38</f>
        <v>1</v>
      </c>
      <c r="C41" s="13">
        <f>1/E39</f>
        <v>0.5</v>
      </c>
      <c r="D41" s="13">
        <f>1/E40</f>
        <v>0.25</v>
      </c>
      <c r="E41" s="13">
        <v>1</v>
      </c>
    </row>
    <row r="44" spans="1:5" x14ac:dyDescent="0.2">
      <c r="A44" s="12" t="s">
        <v>30</v>
      </c>
    </row>
    <row r="45" spans="1:5" ht="16" x14ac:dyDescent="0.2">
      <c r="B45" s="3" t="s">
        <v>52</v>
      </c>
      <c r="C45" s="3" t="s">
        <v>53</v>
      </c>
      <c r="D45" s="3" t="s">
        <v>54</v>
      </c>
      <c r="E45" s="3" t="s">
        <v>55</v>
      </c>
    </row>
    <row r="46" spans="1:5" x14ac:dyDescent="0.2">
      <c r="A46" s="4" t="s">
        <v>52</v>
      </c>
      <c r="B46" s="13">
        <v>1</v>
      </c>
      <c r="C46" s="13">
        <v>0.33333299999999999</v>
      </c>
      <c r="D46" s="13">
        <v>0.14285700000000001</v>
      </c>
      <c r="E46" s="13">
        <v>1</v>
      </c>
    </row>
    <row r="47" spans="1:5" x14ac:dyDescent="0.2">
      <c r="A47" s="4" t="s">
        <v>53</v>
      </c>
      <c r="B47" s="13">
        <f>1/C46</f>
        <v>3.0000030000030002</v>
      </c>
      <c r="C47" s="13">
        <v>1</v>
      </c>
      <c r="D47" s="13">
        <v>0.5</v>
      </c>
      <c r="E47" s="13">
        <v>3</v>
      </c>
    </row>
    <row r="48" spans="1:5" x14ac:dyDescent="0.2">
      <c r="A48" s="4" t="s">
        <v>54</v>
      </c>
      <c r="B48" s="13">
        <f>1/D46</f>
        <v>7.0000070000069998</v>
      </c>
      <c r="C48" s="13">
        <f>1/D47</f>
        <v>2</v>
      </c>
      <c r="D48" s="13">
        <v>1</v>
      </c>
      <c r="E48" s="13">
        <v>6</v>
      </c>
    </row>
    <row r="49" spans="1:5" x14ac:dyDescent="0.2">
      <c r="A49" s="4" t="s">
        <v>55</v>
      </c>
      <c r="B49" s="13">
        <f>1/E46</f>
        <v>1</v>
      </c>
      <c r="C49" s="13">
        <f>1/E47</f>
        <v>0.33333333333333331</v>
      </c>
      <c r="D49" s="13">
        <f>1/E48</f>
        <v>0.16666666666666666</v>
      </c>
      <c r="E49" s="13">
        <v>1</v>
      </c>
    </row>
  </sheetData>
  <mergeCells count="1">
    <mergeCell ref="B1:F1"/>
  </mergeCells>
  <conditionalFormatting sqref="B24">
    <cfRule type="cellIs" dxfId="4" priority="1" operator="lessThan">
      <formula>0.1</formula>
    </cfRule>
    <cfRule type="cellIs" dxfId="3" priority="2" operator="greaterThanOrEqual">
      <formula>0.1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49"/>
  <sheetViews>
    <sheetView zoomScale="150" zoomScaleNormal="150" workbookViewId="0">
      <selection activeCell="G19" activeCellId="1" sqref="E14 G19"/>
    </sheetView>
  </sheetViews>
  <sheetFormatPr baseColWidth="10" defaultColWidth="8.83203125" defaultRowHeight="15" x14ac:dyDescent="0.2"/>
  <cols>
    <col min="1" max="1" width="22" customWidth="1"/>
    <col min="2" max="7" width="13" customWidth="1"/>
  </cols>
  <sheetData>
    <row r="1" spans="1:6" ht="33" customHeight="1" x14ac:dyDescent="0.25">
      <c r="A1" s="1" t="s">
        <v>64</v>
      </c>
      <c r="B1" s="22" t="s">
        <v>65</v>
      </c>
      <c r="C1" s="21"/>
      <c r="D1" s="21"/>
      <c r="E1" s="21"/>
      <c r="F1" s="21"/>
    </row>
    <row r="2" spans="1:6" ht="16" x14ac:dyDescent="0.2">
      <c r="B2" s="3" t="s">
        <v>52</v>
      </c>
      <c r="C2" s="3" t="s">
        <v>53</v>
      </c>
      <c r="D2" s="3" t="s">
        <v>54</v>
      </c>
      <c r="E2" s="3" t="s">
        <v>55</v>
      </c>
    </row>
    <row r="3" spans="1:6" x14ac:dyDescent="0.2">
      <c r="A3" s="4" t="s">
        <v>52</v>
      </c>
      <c r="B3" s="5">
        <v>1</v>
      </c>
      <c r="C3" s="5">
        <f>GEOMEAN(C30,C38,C46)</f>
        <v>2.2894284851066637</v>
      </c>
      <c r="D3" s="5">
        <f>GEOMEAN(D30,D38,D46)</f>
        <v>6</v>
      </c>
      <c r="E3" s="5">
        <f>GEOMEAN(E30,E38,E46)</f>
        <v>1</v>
      </c>
    </row>
    <row r="4" spans="1:6" x14ac:dyDescent="0.2">
      <c r="A4" s="4" t="s">
        <v>53</v>
      </c>
      <c r="B4" s="5">
        <f>1/C3</f>
        <v>0.43679023236814946</v>
      </c>
      <c r="C4" s="5">
        <v>1</v>
      </c>
      <c r="D4" s="5">
        <f>GEOMEAN(D31,D39,D47)</f>
        <v>1.8171205928321397</v>
      </c>
      <c r="E4" s="5">
        <f>GEOMEAN(E31,E39,E47)</f>
        <v>0.43679008677135678</v>
      </c>
    </row>
    <row r="5" spans="1:6" x14ac:dyDescent="0.2">
      <c r="A5" s="4" t="s">
        <v>54</v>
      </c>
      <c r="B5" s="5">
        <f>1/D3</f>
        <v>0.16666666666666666</v>
      </c>
      <c r="C5" s="5">
        <f>1/D4</f>
        <v>0.55032120814910446</v>
      </c>
      <c r="D5" s="5">
        <v>1</v>
      </c>
      <c r="E5" s="5">
        <f>GEOMEAN(E32,E40,E48)</f>
        <v>0.16666672222209261</v>
      </c>
    </row>
    <row r="6" spans="1:6" x14ac:dyDescent="0.2">
      <c r="A6" s="4" t="s">
        <v>55</v>
      </c>
      <c r="B6" s="5">
        <f>1/E3</f>
        <v>1</v>
      </c>
      <c r="C6" s="5">
        <f>1/E4</f>
        <v>2.2894292482500007</v>
      </c>
      <c r="D6" s="5">
        <f>1/E5</f>
        <v>5.9999980000053323</v>
      </c>
      <c r="E6" s="5">
        <v>1</v>
      </c>
    </row>
    <row r="7" spans="1:6" x14ac:dyDescent="0.2">
      <c r="A7" s="6" t="s">
        <v>13</v>
      </c>
      <c r="B7" s="7">
        <f>SUM(B3:B6)</f>
        <v>2.6034568990348159</v>
      </c>
      <c r="C7" s="7">
        <f>SUM(C3:C6)</f>
        <v>6.1291789415057689</v>
      </c>
      <c r="D7" s="7">
        <f>SUM(D3:D6)</f>
        <v>14.817118592837472</v>
      </c>
      <c r="E7" s="7">
        <f>SUM(E3:E6)</f>
        <v>2.6034568089934496</v>
      </c>
    </row>
    <row r="9" spans="1:6" x14ac:dyDescent="0.2">
      <c r="A9" s="6" t="s">
        <v>14</v>
      </c>
      <c r="F9" s="6" t="s">
        <v>15</v>
      </c>
    </row>
    <row r="10" spans="1:6" x14ac:dyDescent="0.2">
      <c r="B10" s="8">
        <f t="shared" ref="B10:E13" si="0">B3/B$7</f>
        <v>0.38410468802872511</v>
      </c>
      <c r="C10" s="8">
        <f t="shared" si="0"/>
        <v>0.37352939226542059</v>
      </c>
      <c r="D10" s="8">
        <f t="shared" si="0"/>
        <v>0.404937030260416</v>
      </c>
      <c r="E10" s="8">
        <f t="shared" si="0"/>
        <v>0.38410470131310559</v>
      </c>
      <c r="F10" s="9">
        <f>AVERAGE(B10:E10)</f>
        <v>0.38666895296691683</v>
      </c>
    </row>
    <row r="11" spans="1:6" x14ac:dyDescent="0.2">
      <c r="B11" s="8">
        <f t="shared" si="0"/>
        <v>0.16777317593776239</v>
      </c>
      <c r="C11" s="8">
        <f t="shared" si="0"/>
        <v>0.16315399004394671</v>
      </c>
      <c r="D11" s="8">
        <f t="shared" si="0"/>
        <v>0.12263656941441553</v>
      </c>
      <c r="E11" s="8">
        <f t="shared" si="0"/>
        <v>0.16777312581583748</v>
      </c>
      <c r="F11" s="9">
        <f>AVERAGE(B11:E11)</f>
        <v>0.15533421530299052</v>
      </c>
    </row>
    <row r="12" spans="1:6" x14ac:dyDescent="0.2">
      <c r="B12" s="8">
        <f t="shared" si="0"/>
        <v>6.4017448004787508E-2</v>
      </c>
      <c r="C12" s="8">
        <f t="shared" si="0"/>
        <v>8.9787100915331708E-2</v>
      </c>
      <c r="D12" s="8">
        <f t="shared" si="0"/>
        <v>6.7489505043402662E-2</v>
      </c>
      <c r="E12" s="8">
        <f t="shared" si="0"/>
        <v>6.4017471557951219E-2</v>
      </c>
      <c r="F12" s="9">
        <f>AVERAGE(B12:E12)</f>
        <v>7.1327881380368274E-2</v>
      </c>
    </row>
    <row r="13" spans="1:6" x14ac:dyDescent="0.2">
      <c r="B13" s="8">
        <f t="shared" si="0"/>
        <v>0.38410468802872511</v>
      </c>
      <c r="C13" s="8">
        <f t="shared" si="0"/>
        <v>0.373529516775301</v>
      </c>
      <c r="D13" s="8">
        <f t="shared" si="0"/>
        <v>0.4049368952817658</v>
      </c>
      <c r="E13" s="8">
        <f t="shared" si="0"/>
        <v>0.38410470131310559</v>
      </c>
      <c r="F13" s="9">
        <f>AVERAGE(B13:E13)</f>
        <v>0.38666895034972437</v>
      </c>
    </row>
    <row r="15" spans="1:6" ht="16" x14ac:dyDescent="0.2">
      <c r="A15" s="10" t="s">
        <v>16</v>
      </c>
    </row>
    <row r="16" spans="1:6" x14ac:dyDescent="0.2">
      <c r="A16" t="s">
        <v>56</v>
      </c>
      <c r="B16" s="8">
        <f>B3*$F$10 + C3*$F$11 + D3*$F$12 + E3*$F$13</f>
        <v>1.5569317688252089</v>
      </c>
      <c r="C16" s="8">
        <f>B16/F10</f>
        <v>4.0265238697827881</v>
      </c>
      <c r="D16" t="s">
        <v>18</v>
      </c>
    </row>
    <row r="17" spans="1:5" x14ac:dyDescent="0.2">
      <c r="A17" t="s">
        <v>57</v>
      </c>
      <c r="B17" s="8">
        <f>B4*$F$10 + C4*$F$11 + D4*$F$12 + E4*$F$13</f>
        <v>0.62273196359336003</v>
      </c>
      <c r="C17" s="8">
        <f>B17/F11</f>
        <v>4.0089812948079517</v>
      </c>
      <c r="D17" t="s">
        <v>18</v>
      </c>
    </row>
    <row r="18" spans="1:5" x14ac:dyDescent="0.2">
      <c r="A18" t="s">
        <v>58</v>
      </c>
      <c r="B18" s="8">
        <f>B5*$F$10 + C5*$F$11 + D5*$F$12 + E5*$F$13</f>
        <v>0.28570126644713489</v>
      </c>
      <c r="C18" s="8">
        <f>B18/F12</f>
        <v>4.0054640754515534</v>
      </c>
      <c r="D18" t="s">
        <v>18</v>
      </c>
    </row>
    <row r="19" spans="1:5" x14ac:dyDescent="0.2">
      <c r="A19" t="s">
        <v>59</v>
      </c>
      <c r="B19" s="8">
        <f>B6*$F$10 + C6*$F$11 + D6*$F$12 + E6*$F$13</f>
        <v>1.5569317447120978</v>
      </c>
      <c r="C19" s="8">
        <f>B19/F13</f>
        <v>4.0265238346754355</v>
      </c>
      <c r="D19" t="s">
        <v>18</v>
      </c>
    </row>
    <row r="20" spans="1:5" x14ac:dyDescent="0.2">
      <c r="A20" t="s">
        <v>22</v>
      </c>
      <c r="B20" s="8">
        <f>AVERAGE(C16:C19)</f>
        <v>4.0168732686794328</v>
      </c>
    </row>
    <row r="21" spans="1:5" x14ac:dyDescent="0.2">
      <c r="A21" t="s">
        <v>23</v>
      </c>
      <c r="B21" s="8">
        <f>(B20-4)/(4-1)</f>
        <v>5.6244228931442803E-3</v>
      </c>
    </row>
    <row r="22" spans="1:5" x14ac:dyDescent="0.2">
      <c r="A22" t="s">
        <v>24</v>
      </c>
      <c r="B22" s="11">
        <v>0.9</v>
      </c>
    </row>
    <row r="23" spans="1:5" x14ac:dyDescent="0.2">
      <c r="A23" s="6" t="s">
        <v>25</v>
      </c>
      <c r="B23" s="9">
        <f>B21/B22</f>
        <v>6.2493587701603114E-3</v>
      </c>
    </row>
    <row r="24" spans="1:5" x14ac:dyDescent="0.2">
      <c r="A24" s="6" t="s">
        <v>26</v>
      </c>
      <c r="B24" s="6" t="str">
        <f>IF(B23&lt;0.1,"Sí, consistente","No, revisar juicios")</f>
        <v>Sí, consistente</v>
      </c>
    </row>
    <row r="26" spans="1:5" ht="16" x14ac:dyDescent="0.2">
      <c r="A26" s="10" t="s">
        <v>27</v>
      </c>
    </row>
    <row r="28" spans="1:5" x14ac:dyDescent="0.2">
      <c r="A28" s="12" t="s">
        <v>28</v>
      </c>
    </row>
    <row r="29" spans="1:5" ht="16" x14ac:dyDescent="0.2">
      <c r="B29" s="3" t="s">
        <v>52</v>
      </c>
      <c r="C29" s="3" t="s">
        <v>53</v>
      </c>
      <c r="D29" s="3" t="s">
        <v>54</v>
      </c>
      <c r="E29" s="3" t="s">
        <v>55</v>
      </c>
    </row>
    <row r="30" spans="1:5" x14ac:dyDescent="0.2">
      <c r="A30" s="4" t="s">
        <v>52</v>
      </c>
      <c r="B30" s="13">
        <v>1</v>
      </c>
      <c r="C30" s="13">
        <v>3</v>
      </c>
      <c r="D30" s="13">
        <v>9</v>
      </c>
      <c r="E30" s="13">
        <v>1</v>
      </c>
    </row>
    <row r="31" spans="1:5" x14ac:dyDescent="0.2">
      <c r="A31" s="4" t="s">
        <v>53</v>
      </c>
      <c r="B31" s="13">
        <f>1/C30</f>
        <v>0.33333333333333331</v>
      </c>
      <c r="C31" s="13">
        <v>1</v>
      </c>
      <c r="D31" s="13">
        <v>3</v>
      </c>
      <c r="E31" s="13">
        <v>0.33333299999999999</v>
      </c>
    </row>
    <row r="32" spans="1:5" x14ac:dyDescent="0.2">
      <c r="A32" s="4" t="s">
        <v>54</v>
      </c>
      <c r="B32" s="13">
        <f>1/D30</f>
        <v>0.1111111111111111</v>
      </c>
      <c r="C32" s="13">
        <f>1/D31</f>
        <v>0.33333333333333331</v>
      </c>
      <c r="D32" s="13">
        <v>1</v>
      </c>
      <c r="E32" s="13">
        <v>0.111111</v>
      </c>
    </row>
    <row r="33" spans="1:5" x14ac:dyDescent="0.2">
      <c r="A33" s="4" t="s">
        <v>55</v>
      </c>
      <c r="B33" s="13">
        <f>1/E30</f>
        <v>1</v>
      </c>
      <c r="C33" s="13">
        <f>1/E31</f>
        <v>3.0000030000030002</v>
      </c>
      <c r="D33" s="13">
        <f>1/E32</f>
        <v>9.0000090000089994</v>
      </c>
      <c r="E33" s="13">
        <v>1</v>
      </c>
    </row>
    <row r="36" spans="1:5" x14ac:dyDescent="0.2">
      <c r="A36" s="12" t="s">
        <v>29</v>
      </c>
    </row>
    <row r="37" spans="1:5" ht="16" x14ac:dyDescent="0.2">
      <c r="B37" s="3" t="s">
        <v>52</v>
      </c>
      <c r="C37" s="3" t="s">
        <v>53</v>
      </c>
      <c r="D37" s="3" t="s">
        <v>54</v>
      </c>
      <c r="E37" s="3" t="s">
        <v>55</v>
      </c>
    </row>
    <row r="38" spans="1:5" x14ac:dyDescent="0.2">
      <c r="A38" s="4" t="s">
        <v>52</v>
      </c>
      <c r="B38" s="13">
        <v>1</v>
      </c>
      <c r="C38" s="13">
        <v>2</v>
      </c>
      <c r="D38" s="13">
        <v>6</v>
      </c>
      <c r="E38" s="13">
        <v>1</v>
      </c>
    </row>
    <row r="39" spans="1:5" x14ac:dyDescent="0.2">
      <c r="A39" s="4" t="s">
        <v>53</v>
      </c>
      <c r="B39" s="13">
        <f>1/C38</f>
        <v>0.5</v>
      </c>
      <c r="C39" s="13">
        <v>1</v>
      </c>
      <c r="D39" s="13">
        <v>2</v>
      </c>
      <c r="E39" s="13">
        <v>0.5</v>
      </c>
    </row>
    <row r="40" spans="1:5" x14ac:dyDescent="0.2">
      <c r="A40" s="4" t="s">
        <v>54</v>
      </c>
      <c r="B40" s="13">
        <f>1/D38</f>
        <v>0.16666666666666666</v>
      </c>
      <c r="C40" s="13">
        <f>1/D39</f>
        <v>0.5</v>
      </c>
      <c r="D40" s="13">
        <v>1</v>
      </c>
      <c r="E40" s="13">
        <v>0.16666700000000001</v>
      </c>
    </row>
    <row r="41" spans="1:5" x14ac:dyDescent="0.2">
      <c r="A41" s="4" t="s">
        <v>55</v>
      </c>
      <c r="B41" s="13">
        <f>1/E38</f>
        <v>1</v>
      </c>
      <c r="C41" s="13">
        <f>1/E39</f>
        <v>2</v>
      </c>
      <c r="D41" s="13">
        <f>1/E40</f>
        <v>5.9999880000239996</v>
      </c>
      <c r="E41" s="13">
        <v>1</v>
      </c>
    </row>
    <row r="44" spans="1:5" x14ac:dyDescent="0.2">
      <c r="A44" s="12" t="s">
        <v>30</v>
      </c>
    </row>
    <row r="45" spans="1:5" ht="16" x14ac:dyDescent="0.2">
      <c r="B45" s="3" t="s">
        <v>52</v>
      </c>
      <c r="C45" s="3" t="s">
        <v>53</v>
      </c>
      <c r="D45" s="3" t="s">
        <v>54</v>
      </c>
      <c r="E45" s="3" t="s">
        <v>55</v>
      </c>
    </row>
    <row r="46" spans="1:5" x14ac:dyDescent="0.2">
      <c r="A46" s="4" t="s">
        <v>52</v>
      </c>
      <c r="B46" s="13">
        <v>1</v>
      </c>
      <c r="C46" s="13">
        <v>2</v>
      </c>
      <c r="D46" s="13">
        <v>4</v>
      </c>
      <c r="E46" s="13">
        <v>1</v>
      </c>
    </row>
    <row r="47" spans="1:5" x14ac:dyDescent="0.2">
      <c r="A47" s="4" t="s">
        <v>53</v>
      </c>
      <c r="B47" s="13">
        <f>1/C46</f>
        <v>0.5</v>
      </c>
      <c r="C47" s="13">
        <v>1</v>
      </c>
      <c r="D47" s="13">
        <v>1</v>
      </c>
      <c r="E47" s="13">
        <v>0.5</v>
      </c>
    </row>
    <row r="48" spans="1:5" x14ac:dyDescent="0.2">
      <c r="A48" s="4" t="s">
        <v>54</v>
      </c>
      <c r="B48" s="13">
        <f>1/D46</f>
        <v>0.25</v>
      </c>
      <c r="C48" s="13">
        <f>1/D47</f>
        <v>1</v>
      </c>
      <c r="D48" s="13">
        <v>1</v>
      </c>
      <c r="E48" s="13">
        <v>0.25</v>
      </c>
    </row>
    <row r="49" spans="1:5" x14ac:dyDescent="0.2">
      <c r="A49" s="4" t="s">
        <v>55</v>
      </c>
      <c r="B49" s="13">
        <f>1/E46</f>
        <v>1</v>
      </c>
      <c r="C49" s="13">
        <f>1/E47</f>
        <v>2</v>
      </c>
      <c r="D49" s="13">
        <f>1/E48</f>
        <v>4</v>
      </c>
      <c r="E49" s="13">
        <v>1</v>
      </c>
    </row>
  </sheetData>
  <mergeCells count="1">
    <mergeCell ref="B1:F1"/>
  </mergeCells>
  <conditionalFormatting sqref="B24">
    <cfRule type="cellIs" dxfId="2" priority="1" operator="lessThan">
      <formula>0.1</formula>
    </cfRule>
    <cfRule type="cellIs" dxfId="1" priority="2" operator="greaterThanOrEqual">
      <formula>0.1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9"/>
  <sheetViews>
    <sheetView zoomScale="150" workbookViewId="0">
      <selection activeCell="A4" sqref="A4"/>
    </sheetView>
  </sheetViews>
  <sheetFormatPr baseColWidth="10" defaultColWidth="8.83203125" defaultRowHeight="15" x14ac:dyDescent="0.2"/>
  <cols>
    <col min="1" max="1" width="18" customWidth="1"/>
    <col min="2" max="7" width="15" customWidth="1"/>
  </cols>
  <sheetData>
    <row r="1" spans="1:7" x14ac:dyDescent="0.2">
      <c r="A1" s="6" t="s">
        <v>66</v>
      </c>
    </row>
    <row r="2" spans="1:7" ht="16" x14ac:dyDescent="0.2">
      <c r="B2" s="3" t="s">
        <v>9</v>
      </c>
      <c r="C2" s="3" t="s">
        <v>10</v>
      </c>
      <c r="D2" s="3" t="s">
        <v>11</v>
      </c>
      <c r="E2" s="3" t="s">
        <v>12</v>
      </c>
      <c r="F2" s="3" t="s">
        <v>67</v>
      </c>
      <c r="G2" s="3" t="s">
        <v>68</v>
      </c>
    </row>
    <row r="3" spans="1:7" x14ac:dyDescent="0.2">
      <c r="A3" s="6" t="s">
        <v>69</v>
      </c>
      <c r="B3" s="8" t="e">
        <f>Criterios!F11</f>
        <v>#NUM!</v>
      </c>
      <c r="C3" s="8" t="e">
        <f>Criterios!F12</f>
        <v>#NUM!</v>
      </c>
      <c r="D3" s="8" t="e">
        <f>Criterios!F13</f>
        <v>#NUM!</v>
      </c>
      <c r="E3" s="8" t="e">
        <f>Criterios!F14</f>
        <v>#NUM!</v>
      </c>
    </row>
    <row r="4" spans="1:7" x14ac:dyDescent="0.2">
      <c r="A4" s="6" t="s">
        <v>52</v>
      </c>
      <c r="B4" s="8">
        <f>Alcance!F10</f>
        <v>0.23678195565969931</v>
      </c>
      <c r="C4" s="8">
        <f>Autonomía!F10</f>
        <v>0.56241202045118255</v>
      </c>
      <c r="D4" s="8">
        <f>Infraestructura!F10</f>
        <v>9.2144408191171173E-2</v>
      </c>
      <c r="E4" s="8">
        <f>Madurez!F10</f>
        <v>0.38666895296691683</v>
      </c>
      <c r="F4" s="9" t="e">
        <f>SUMPRODUCT(B4:E4,B$3:E$3)</f>
        <v>#NUM!</v>
      </c>
      <c r="G4" s="16" t="e">
        <f>RANK(F4,F$4:F$7)</f>
        <v>#NUM!</v>
      </c>
    </row>
    <row r="5" spans="1:7" x14ac:dyDescent="0.2">
      <c r="A5" s="6" t="s">
        <v>53</v>
      </c>
      <c r="B5" s="8">
        <f>Alcance!F11</f>
        <v>0.1995510892097907</v>
      </c>
      <c r="C5" s="8">
        <f>Autonomía!F11</f>
        <v>6.9835151905312171E-2</v>
      </c>
      <c r="D5" s="8">
        <f>Infraestructura!F11</f>
        <v>0.26919680157180426</v>
      </c>
      <c r="E5" s="8">
        <f>Madurez!F11</f>
        <v>0.15533421530299052</v>
      </c>
      <c r="F5" s="9" t="e">
        <f>SUMPRODUCT(B5:E5,B$3:E$3)</f>
        <v>#NUM!</v>
      </c>
      <c r="G5" s="16" t="e">
        <f>RANK(F5,F$4:F$7)</f>
        <v>#NUM!</v>
      </c>
    </row>
    <row r="6" spans="1:7" x14ac:dyDescent="0.2">
      <c r="A6" s="6" t="s">
        <v>54</v>
      </c>
      <c r="B6" s="8">
        <f>Alcance!F12</f>
        <v>0.50173917333230567</v>
      </c>
      <c r="C6" s="8">
        <f>Autonomía!F12</f>
        <v>0.19039725397553556</v>
      </c>
      <c r="D6" s="8">
        <f>Infraestructura!F12</f>
        <v>0.54533347914757524</v>
      </c>
      <c r="E6" s="8">
        <f>Madurez!F12</f>
        <v>7.1327881380368274E-2</v>
      </c>
      <c r="F6" s="9" t="e">
        <f>SUMPRODUCT(B6:E6,B$3:E$3)</f>
        <v>#NUM!</v>
      </c>
      <c r="G6" s="16" t="e">
        <f>RANK(F6,F$4:F$7)</f>
        <v>#NUM!</v>
      </c>
    </row>
    <row r="7" spans="1:7" x14ac:dyDescent="0.2">
      <c r="A7" s="6" t="s">
        <v>55</v>
      </c>
      <c r="B7" s="8">
        <f>Alcance!F13</f>
        <v>6.1927781798204282E-2</v>
      </c>
      <c r="C7" s="8">
        <f>Autonomía!F13</f>
        <v>0.17735557366796983</v>
      </c>
      <c r="D7" s="8">
        <f>Infraestructura!F13</f>
        <v>9.3325311089449414E-2</v>
      </c>
      <c r="E7" s="8">
        <f>Madurez!F13</f>
        <v>0.38666895034972437</v>
      </c>
      <c r="F7" s="9" t="e">
        <f>SUMPRODUCT(B7:E7,B$3:E$3)</f>
        <v>#NUM!</v>
      </c>
      <c r="G7" s="16" t="e">
        <f>RANK(F7,F$4:F$7)</f>
        <v>#NUM!</v>
      </c>
    </row>
    <row r="9" spans="1:7" ht="16" x14ac:dyDescent="0.2">
      <c r="A9" s="14" t="s">
        <v>70</v>
      </c>
      <c r="B9" s="17" t="e">
        <f>INDEX(A4:A7,MATCH(MAX(F4:F7),F4:F7,0))</f>
        <v>#NUM!</v>
      </c>
      <c r="C9" s="18" t="s">
        <v>71</v>
      </c>
      <c r="D9" s="19" t="e">
        <f>MAX(F4:F7)</f>
        <v>#NUM!</v>
      </c>
    </row>
  </sheetData>
  <conditionalFormatting sqref="G4:G7">
    <cfRule type="cellIs" dxfId="0" priority="1" operator="equal">
      <formula>1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Notas</vt:lpstr>
      <vt:lpstr>Criterios</vt:lpstr>
      <vt:lpstr>Alcance</vt:lpstr>
      <vt:lpstr>Autonomía</vt:lpstr>
      <vt:lpstr>Infraestructura</vt:lpstr>
      <vt:lpstr>Madurez</vt:lpstr>
      <vt:lpstr>Síntesis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HAROLD DAVID HERNANDEZ SOLORZANO</cp:lastModifiedBy>
  <cp:revision/>
  <dcterms:created xsi:type="dcterms:W3CDTF">2026-09-11T05:34:38Z</dcterms:created>
  <dcterms:modified xsi:type="dcterms:W3CDTF">2026-09-19T18:56:32Z</dcterms:modified>
  <cp:category/>
  <cp:contentStatus/>
</cp:coreProperties>
</file>