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" sheetId="1" r:id="rId1"/>
    <sheet name="Prior 1. Lluvia de ideas" sheetId="2" r:id="rId2"/>
    <sheet name="Prior 2. Tamizaje" sheetId="3" r:id="rId3"/>
    <sheet name="Prior 3. Independencia" sheetId="4" r:id="rId4"/>
    <sheet name="Prior 4. Panel" sheetId="5" r:id="rId5"/>
    <sheet name="Prior 5. Resultado final" sheetId="6" r:id="rId6"/>
    <sheet name="Criterios" sheetId="7" r:id="rId7"/>
    <sheet name="Eficiencia de datos" sheetId="8" r:id="rId8"/>
    <sheet name="Métricas WER CER" sheetId="9" r:id="rId9"/>
    <sheet name="Madurez y soporte de herrami" sheetId="10" r:id="rId10"/>
    <sheet name="Dependencia de anotación" sheetId="11" r:id="rId11"/>
    <sheet name="Transferibilidad entre lengu" sheetId="12" r:id="rId12"/>
    <sheet name="Síntesis" sheetId="13" r:id="rId13"/>
    <sheet name="_datos" sheetId="14" r:id="rId14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0.0"/>
    <numFmt numFmtId="166" formatCode="0.0"/>
    <numFmt numFmtId="167" formatCode="0.000"/>
    <numFmt numFmtId="168" formatCode="0.000"/>
    <numFmt numFmtId="169" formatCode="0.0000"/>
    <numFmt numFmtId="170" formatCode="0.0000"/>
    <numFmt numFmtId="171" formatCode="0.0000"/>
    <numFmt numFmtId="172" formatCode="0.0%"/>
  </numFmts>
  <fonts count="18" x14ac:knownFonts="1">
    <font>
      <sz val="11"/>
      <name val="Calibri"/>
    </font>
    <font>
      <sz val="11"/>
      <name val="Calibri"/>
    </font>
    <font>
      <sz val="14"/>
      <name val="Calibri"/>
      <b/>
      <color rgb="8B6CFF"/>
    </font>
    <font>
      <sz val="11"/>
      <name val="Calibri"/>
      <b/>
    </font>
    <font>
      <sz val="9"/>
      <name val="Calibri"/>
      <i/>
      <color rgb="666666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2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  <color rgb="5B3FCC"/>
    </font>
    <font>
      <sz val="11"/>
      <name val="Calibri"/>
      <b/>
    </font>
    <font>
      <sz val="12"/>
      <name val="Calibri"/>
      <b/>
      <color rgb="8B6CFF"/>
    </font>
    <font>
      <sz val="12"/>
      <name val="Calibri"/>
      <b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6CFF"/>
        <bgColor/>
      </patternFill>
    </fill>
    <fill>
      <patternFill patternType="solid">
        <fgColor rgb="FF8B6CFF"/>
        <bgColor/>
      </patternFill>
    </fill>
    <fill>
      <patternFill patternType="solid">
        <fgColor rgb="FF8B6CFF"/>
        <bgColor/>
      </patternFill>
    </fill>
    <fill>
      <patternFill patternType="solid">
        <fgColor rgb="FFD8F5E3"/>
        <bgColor/>
      </patternFill>
    </fill>
    <fill>
      <patternFill patternType="solid">
        <fgColor rgb="FFD8F5E3"/>
        <bgColor/>
      </patternFill>
    </fill>
    <fill>
      <patternFill patternType="solid">
        <fgColor rgb="FFD8F5E3"/>
        <bgColor/>
      </patternFill>
    </fill>
    <fill>
      <patternFill patternType="solid">
        <fgColor rgb="FFD8F5E3"/>
        <bgColor/>
      </patternFill>
    </fill>
    <fill>
      <patternFill patternType="solid">
        <fgColor rgb="FFD8F5E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0" xfId="0" applyAlignment="1">
      <alignment vertical="top" wrapText="true"/>
    </xf>
    <xf numFmtId="0" fontId="3" fillId="0" borderId="0" xfId="0" applyFont="1"/>
    <xf numFmtId="0" fontId="4" fillId="0" borderId="0" xfId="0" applyFont="1" applyAlignment="1">
      <alignment vertical="top" wrapText="true"/>
    </xf>
    <xf numFmtId="0" fontId="5" fillId="2" borderId="0" xfId="0" applyFont="1" applyFill="1" applyAlignment="1">
      <alignment vertical="center" wrapText="true"/>
    </xf>
    <xf numFmtId="0" fontId="6" fillId="3" borderId="0" xfId="0" applyFont="1" applyFill="1" applyAlignment="1">
      <alignment vertical="center" wrapText="true"/>
    </xf>
    <xf numFmtId="0" fontId="0" fillId="0" borderId="0" xfId="0" applyAlignment="1">
      <alignment horizontal="center"/>
    </xf>
    <xf numFmtId="0" fontId="7" fillId="4" borderId="0" xfId="0" applyFont="1" applyFill="1" applyAlignment="1">
      <alignment horizontal="center" vertical="center" wrapText="true"/>
    </xf>
    <xf numFmtId="165" fontId="0" fillId="0" borderId="0" xfId="0" applyNumberFormat="1" applyAlignment="1">
      <alignment horizontal="center"/>
    </xf>
    <xf numFmtId="2" fontId="8" fillId="5" borderId="0" xfId="0" applyFont="1" applyFill="1" applyNumberFormat="1"/>
    <xf numFmtId="2" fontId="9" fillId="6" borderId="0" xfId="0" applyFont="1" applyFill="1" applyNumberFormat="1"/>
    <xf numFmtId="166" fontId="10" fillId="7" borderId="0" xfId="0" applyFont="1" applyFill="1" applyNumberFormat="1"/>
    <xf numFmtId="0" fontId="11" fillId="0" borderId="0" xfId="0" applyFont="1"/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12" fillId="0" borderId="0" xfId="0" applyFont="1" applyNumberFormat="1"/>
    <xf numFmtId="169" fontId="0" fillId="0" borderId="0" xfId="0" applyNumberFormat="1"/>
    <xf numFmtId="170" fontId="13" fillId="8" borderId="0" xfId="0" applyFont="1" applyFill="1" applyNumberFormat="1"/>
    <xf numFmtId="2" fontId="0" fillId="0" borderId="0" xfId="0" applyNumberFormat="1"/>
    <xf numFmtId="0" fontId="14" fillId="0" borderId="0" xfId="0" applyFont="1"/>
    <xf numFmtId="12" fontId="0" fillId="0" borderId="0" xfId="0" applyNumberFormat="1" applyAlignment="1">
      <alignment horizontal="center"/>
    </xf>
    <xf numFmtId="171" fontId="15" fillId="0" borderId="0" xfId="0" applyFont="1" applyNumberFormat="1"/>
    <xf numFmtId="0" fontId="16" fillId="0" borderId="0" xfId="0" applyFont="1"/>
    <xf numFmtId="0" fontId="17" fillId="9" borderId="0" xfId="0" applyFont="1" applyFill="1"/>
    <xf numFmtId="172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00.83203125" customWidth="1"/>
  </cols>
  <sheetData>
    <row r="1" ht="22" customHeight="1">
      <c r="A1" s="3" t="str">
        <v>Priorización de criterios y AHP</v>
      </c>
    </row>
    <row r="2">
      <c r="A2" s="2" t="str">
        <v/>
      </c>
    </row>
    <row r="3" ht="32" customHeight="1">
      <c r="A3" s="4" t="str">
        <v>Objetivo de decisión: Seleccionar la estrategia de adaptación de modelos de reconocimiento automático de voz (ASR) con mejor desempeño para una lengua indígena de la región con escasos recursos lingüísticos digitales</v>
      </c>
    </row>
    <row r="4" ht="48" customHeight="1">
      <c r="A4" s="4" t="str">
        <v>Cada juicio del AHP es la media geométrica de un panel de 3 experto(s) (Ingeniero/investigador en Machine Learning o voz (ASR); Ingeniero electrónico, procesamiento de señales; Hablante nativo colaborador), no la opinión de una sola persona. Ver hoja Criterios (juicios individuales debajo de la verificación de consistencia) para el mecanismo de agregación (Forman &amp; Peniwati, 1998).</v>
      </c>
    </row>
    <row r="5" ht="32" customHeight="1">
      <c r="A5" s="4" t="str">
        <v>Orden de hojas: Notas → Prior 1–5 → Criterios → Eficiencia de datos → Métricas WER/CER → Madurez y soporte de herramientas → Dependencia de anotación → Transferibilidad entre lenguas → Síntesis</v>
      </c>
    </row>
    <row r="6" ht="78" customHeight="1">
      <c r="A6" s="4" t="str">
        <v>Cómo usarlo: las hojas «Prior 1» a «Prior 5» son la priorización de criterios (Sesión 1): lluvia de ideas, tamizaje, independencia, panel de importancia y resultado final. Las hojas siguientes son el AHP (Sesión 2): una matriz de criterios, una matriz de estrategias por cada criterio y la síntesis. Las celdas con GEOMEAN, SUM, AVERAGE, SUMPRODUCT y RANK son fórmulas vivas: si cambias un juicio individual, todo se recalcula.</v>
      </c>
    </row>
    <row r="7" ht="48" customHeight="1">
      <c r="A7" s="4" t="str">
        <v>¿Qué es GEOMEAN()? Es la media geométrica (la raíz n-ésima del producto de n números), la función de Excel que se usa para combinar el mismo juicio de varios expertos en un solo número. No es el promedio normal (aritmético); es la forma correcta de agregar juicios de razón en AHP.</v>
      </c>
    </row>
    <row r="8" ht="20" customHeight="1">
      <c r="A8" s="4" t="str">
        <v>Revise siempre la fila «¿Consistente? (CR &lt; 0.10)» de cada hoja antes de dar los juicios por buenos.</v>
      </c>
    </row>
    <row r="9" ht="20" customHeight="1">
      <c r="A9" s="5" t="str">
        <v>ADVERTENCIA: los juicios del AHP son de ejemplo (para probar el mecanismo), no de un panel real.</v>
      </c>
    </row>
    <row r="10" ht="20" customHeight="1">
      <c r="A10" s="6" t="str">
        <v>Exportado desde la herramienta interactiva el 19/9/2026, 3:22:56 p.m.. La hoja oculta «_datos» guarda el estado completo para volver a cargarlo en la herramienta.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5.83203125" customWidth="1"/>
    <col min="2" max="2" width="44.83203125" customWidth="1"/>
    <col min="3" max="3" width="70.83203125" customWidth="1"/>
  </cols>
  <sheetData>
    <row r="1" ht="24" customHeight="1">
      <c r="A1" s="3" t="str">
        <v>Priorización — 1. Lluvia de ideas</v>
      </c>
    </row>
    <row r="2"/>
    <row r="3" ht="44" customHeight="1">
      <c r="A3" s="4" t="str">
        <v>Objetivo: Seleccionar la estrategia de adaptación de modelos de reconocimiento automático de voz (ASR) con mejor desempeño para una lengua indígena de la región con escasos recursos lingüísticos digitales</v>
      </c>
    </row>
    <row r="5">
      <c r="A5" s="7" t="str">
        <v>#</v>
      </c>
      <c r="B5" s="8" t="str">
        <v>Candidato</v>
      </c>
      <c r="C5" s="8" t="str">
        <v>Descripción</v>
      </c>
    </row>
    <row r="6">
      <c r="A6" s="9">
        <v>1</v>
      </c>
      <c r="B6" s="4" t="str">
        <v>Eficiencia de datos</v>
      </c>
      <c r="C6" s="4" t="str">
        <v>Horas de audio transcrito necesarias para un desempeño aceptable</v>
      </c>
    </row>
    <row r="7">
      <c r="A7" s="9">
        <v>2</v>
      </c>
      <c r="B7" s="4" t="str">
        <v>Precisión alcanzable (WER/CER)</v>
      </c>
      <c r="C7" s="4" t="str">
        <v>Desempeño reportado en literatura para lenguas de bajos recursos</v>
      </c>
    </row>
    <row r="8">
      <c r="A8" s="9">
        <v>3</v>
      </c>
      <c r="B8" s="4" t="str">
        <v>Costo computacional</v>
      </c>
      <c r="C8" s="4" t="str">
        <v>GPU/horas de cómputo y almacenamiento</v>
      </c>
    </row>
    <row r="9">
      <c r="A9" s="9">
        <v>4</v>
      </c>
      <c r="B9" s="4" t="str">
        <v>Tiempo total de entrenamiento</v>
      </c>
      <c r="C9" s="4" t="str">
        <v>Horas de cómputo/GPU necesarias hasta obtener el modelo entrenado</v>
      </c>
    </row>
    <row r="10">
      <c r="A10" s="9">
        <v>5</v>
      </c>
      <c r="B10" s="4" t="str">
        <v>Complejidad de implementación técnica</v>
      </c>
      <c r="C10" s="4" t="str">
        <v>Qué tan fácil es montar la estrategia: pasos, ajustes finos, curva de aprendizaje</v>
      </c>
    </row>
    <row r="11">
      <c r="A11" s="9">
        <v>6</v>
      </c>
      <c r="B11" s="4" t="str">
        <v>Madurez y soporte de herramientas</v>
      </c>
      <c r="C11" s="4" t="str">
        <v>Whisper, wav2vec 2.0, MMS</v>
      </c>
    </row>
    <row r="12">
      <c r="A12" s="9">
        <v>7</v>
      </c>
      <c r="B12" s="4" t="str">
        <v>Transferibilidad entre lenguas</v>
      </c>
      <c r="C12" s="4" t="str">
        <v>Qué tan bien se traslada el modelo/conocimiento aprendido a otra lengua sin reentrenar desde cero</v>
      </c>
    </row>
    <row r="13">
      <c r="A13" s="9">
        <v>8</v>
      </c>
      <c r="B13" s="4" t="str">
        <v>Dependencia de anotación por hablantes</v>
      </c>
      <c r="C13" s="4" t="str">
        <v>Cuántas horas de habla debe transcribir/etiquetar un hablante nativo para que la estrategia funcione</v>
      </c>
    </row>
    <row r="14">
      <c r="A14" s="9">
        <v>9</v>
      </c>
      <c r="B14" s="4" t="str">
        <v>Robustez ante datos ruidosos o de campo</v>
      </c>
      <c r="C14" s="4" t="str">
        <v>Desempeño de la estrategia cuando el audio tiene ruido ambiental, acentos o grabaciones de campo</v>
      </c>
    </row>
    <row r="15">
      <c r="A15" s="9">
        <v>10</v>
      </c>
      <c r="B15" s="4" t="str">
        <v>Escalabilidad si crece el corpus en el futuro</v>
      </c>
      <c r="C15" s="4" t="str">
        <v>Si el desempeño se mantiene o mejora al añadir más datos en el futuro</v>
      </c>
    </row>
    <row r="16">
      <c r="A16" s="9">
        <v>11</v>
      </c>
      <c r="B16" s="4" t="str">
        <v>Reproducibilidad metodológica</v>
      </c>
      <c r="C16" s="4" t="str">
        <v>Documentable y replicable</v>
      </c>
    </row>
    <row r="17">
      <c r="A17" s="9">
        <v>12</v>
      </c>
      <c r="B17" s="4" t="str">
        <v>Riesgo de sobreajuste (overfitting) con corpus pequeño</v>
      </c>
      <c r="C17" s="4" t="str">
        <v>Probabilidad de que el modelo memorice el corpus pequeño en vez de generalizar</v>
      </c>
    </row>
  </sheetData>
  <mergeCells count="1">
    <mergeCell ref="A3:C3"/>
  </mergeCells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40.83203125" customWidth="1"/>
    <col min="2" max="2" width="80.83203125" customWidth="1"/>
    <col min="3" max="3" width="36.83203125" customWidth="1"/>
  </cols>
  <sheetData>
    <row r="1" ht="24" customHeight="1">
      <c r="A1" s="3" t="str">
        <v>Priorización — 2. Tamizaje: elimina duplicados y candidatos irrelevantes para el caso</v>
      </c>
    </row>
    <row r="3">
      <c r="A3" s="8" t="str">
        <v>Candidato</v>
      </c>
      <c r="B3" s="8" t="str">
        <v>Se elimina porque...</v>
      </c>
      <c r="C3" s="8" t="str">
        <v>Evidencia</v>
      </c>
    </row>
    <row r="4">
      <c r="A4" s="4" t="str">
        <v>Tiempo total de entrenamiento</v>
      </c>
      <c r="B4" s="4" t="str">
        <v>Se funde con Costo computacional. Se funde con Costo computacional: en la práctica el tiempo es consecuencia directa del costo de cómputo disponible, no una dimensión independiente.</v>
      </c>
      <c r="C4" s="4" t="str">
        <v>Baevski et al. 2020; Radford et al. 2022</v>
      </c>
    </row>
    <row r="5">
      <c r="A5" s="4" t="str">
        <v>Complejidad de implementación técnica</v>
      </c>
      <c r="B5" s="4" t="str">
        <v>Se funde con Madurez y soporte de herramientas. Se funde con Madurez y soporte de herramientas: lo que hace compleja o simple una estrategia es si existe una implementación madura y documentada o si hay que construirla desde cero.</v>
      </c>
      <c r="C5" s="4" t="str">
        <v>Pratap et al. 2023 (MMS)</v>
      </c>
    </row>
    <row r="6">
      <c r="A6" s="4" t="str">
        <v>Robustez ante datos ruidosos o de campo</v>
      </c>
      <c r="B6" s="4" t="str">
        <v>No es medible aún por alternativa: no existe todavía corpus grabado en campo para esta lengua.</v>
      </c>
      <c r="C6" s="4" t="str">
        <v>Anexo 2 vigente, §Metodología</v>
      </c>
    </row>
    <row r="7">
      <c r="A7" s="4" t="str">
        <v>Escalabilidad si crece el corpus en el futuro</v>
      </c>
      <c r="B7" s="4" t="str">
        <v>No distingue entre las 4 estrategias en el momento de la decisión; las 4 escalan de forma comparable si el corpus crece.</v>
      </c>
      <c r="C7" s="4" t="str">
        <v>Anexo 2 vigente, §Metodología</v>
      </c>
    </row>
    <row r="8">
      <c r="A8" s="4" t="str">
        <v>Riesgo de sobreajuste (overfitting) con corpus pequeño</v>
      </c>
      <c r="B8" s="4" t="str">
        <v>Se funde con Eficiencia de datos. Es consecuencia directa de Eficiencia de datos; se solaparía con ese criterio al calificar.</v>
      </c>
      <c r="C8" s="4" t="str">
        <v>Zevallos et al. 2022 (data augmentation, Quechua)</v>
      </c>
    </row>
    <row r="10">
      <c r="A10" s="5" t="str">
        <v>Pool restante tras tamizaje: 7 candidatos (de 12).</v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4.83203125" customWidth="1"/>
    <col min="2" max="2" width="44.83203125" customWidth="1"/>
    <col min="3" max="3" width="64.83203125" customWidth="1"/>
    <col min="4" max="4" width="40.83203125" customWidth="1"/>
  </cols>
  <sheetData>
    <row r="1" ht="24" customHeight="1">
      <c r="A1" s="3" t="str">
        <v>Priorización — 3. Verificación de independencia de los candidatos que llegan al panel</v>
      </c>
    </row>
    <row r="3">
      <c r="A3" s="8" t="str">
        <v>Eje</v>
      </c>
      <c r="B3" s="8" t="str">
        <v>Qué mide</v>
      </c>
      <c r="C3" s="8" t="str">
        <v>Evidencia de que son ejes distintos</v>
      </c>
      <c r="D3" s="8" t="str">
        <v>Decisión</v>
      </c>
    </row>
    <row r="4">
      <c r="A4" s="4" t="str">
        <v>Eficiencia de datos</v>
      </c>
      <c r="B4" s="4" t="str">
        <v>Cuánto corpus etiquetado exige la estrategia para un desempeño aceptable.</v>
      </c>
      <c r="C4" s="4" t="str">
        <v>El aprendizaje autosupervisado puede requerir menos audio etiquetado pero más cómputo; el fine-tuning supervisado, lo inverso — no covaría con Costo computacional.</v>
      </c>
      <c r="D4" s="4" t="str">
        <v>Se mantiene como eje independiente.</v>
      </c>
    </row>
    <row r="5">
      <c r="A5" s="4" t="str">
        <v>Precisión alcanzable (WER/CER)</v>
      </c>
      <c r="B5" s="4" t="str">
        <v>Desempeño reportado en la literatura para lenguas de bajos recursos.</v>
      </c>
      <c r="C5" s="4" t="str">
        <v>Una estrategia puede ser eficiente en datos pero no llegar a la mejor precisión reportada (ej. data augmentation); prueba de que ambos ejes miden cosas distintas.</v>
      </c>
      <c r="D5" s="4" t="str">
        <v>Se mantiene como eje independiente.</v>
      </c>
    </row>
    <row r="6">
      <c r="A6" s="4" t="str">
        <v>Costo computacional</v>
      </c>
      <c r="B6" s="4" t="str">
        <v>GPU/horas de cómputo y almacenamiento que exige el entrenamiento.</v>
      </c>
      <c r="C6" s="4" t="str">
        <v>Depende del hardware disponible, no de cuántos datos etiquetados existan ni de qué tan madura esté la herramienta.</v>
      </c>
      <c r="D6" s="4" t="str">
        <v>Se mantiene como eje independiente.</v>
      </c>
    </row>
    <row r="7">
      <c r="A7" s="4" t="str">
        <v>Madurez y soporte de herramientas</v>
      </c>
      <c r="B7" s="4" t="str">
        <v>Existencia de implementaciones estables y documentadas (Whisper, wav2vec 2.0, MMS).</v>
      </c>
      <c r="C7" s="4" t="str">
        <v>Una estrategia puede ser barata en cómputo pero tener herramientas poco maduras, o viceversa; hecho de ecosistema de software.</v>
      </c>
      <c r="D7" s="4" t="str">
        <v>Se mantiene como eje independiente.</v>
      </c>
    </row>
    <row r="8">
      <c r="A8" s="4" t="str">
        <v>Transferibilidad entre lenguas</v>
      </c>
      <c r="B8" s="4" t="str">
        <v>Si lo aprendido sirve para otra lengua de la Sierra Nevada sin rehacer todo.</v>
      </c>
      <c r="C8" s="4" t="str">
        <v>Es una propiedad de portabilidad del conocimiento aprendido, distinta de qué tan preciso o barato es entrenar para una sola lengua.</v>
      </c>
      <c r="D8" s="4" t="str">
        <v>Se mantiene como eje independiente.</v>
      </c>
    </row>
    <row r="9">
      <c r="A9" s="4" t="str">
        <v>Dependencia de anotación por hablantes</v>
      </c>
      <c r="B9" s="4" t="str">
        <v>Cuánto trabajo de transcripción exige a la comunidad.</v>
      </c>
      <c r="C9" s="4" t="str">
        <v>Es un costo social/operativo hacia la comunidad, distinto del costo computacional (que es un costo hacia la infraestructura).</v>
      </c>
      <c r="D9" s="4" t="str">
        <v>Se mantiene como eje independiente.</v>
      </c>
    </row>
    <row r="10">
      <c r="A10" s="4" t="str">
        <v>Reproducibilidad metodológica</v>
      </c>
      <c r="B10" s="4" t="str">
        <v>Qué tan documentable y replicable queda el procedimiento.</v>
      </c>
      <c r="C10" s="4" t="str">
        <v>Una estrategia puede ser precisa pero poco reproducible si depende de ajustes no documentados; es un eje de rigor metodológico, no de desempeño.</v>
      </c>
      <c r="D10" s="4" t="str">
        <v>Se mantiene como eje independiente.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 ht="24" customHeight="1">
      <c r="A1" s="3" t="str">
        <v>Priorización — 4. Panel de importancia (evaluadores, escala 1 a 5)</v>
      </c>
    </row>
    <row r="2">
      <c r="A2" s="6" t="str">
        <v>Cada evaluador califica cada criterio de 1 (nada importante) a 5 (crítico). Ponderación = promedio.</v>
      </c>
    </row>
    <row r="3"/>
    <row r="4" ht="24" customHeight="1">
      <c r="A4" s="8" t="str">
        <v>Criterio</v>
      </c>
      <c r="B4" s="10" t="str">
        <v>Evaluador 1</v>
      </c>
      <c r="C4" s="10" t="str">
        <v>Evaluador 2</v>
      </c>
      <c r="D4" s="10" t="str">
        <v>Evaluador 3</v>
      </c>
      <c r="E4" s="10" t="str">
        <v>Evaluador 4</v>
      </c>
      <c r="F4" s="10" t="str">
        <v>Ponderación</v>
      </c>
    </row>
    <row r="5">
      <c r="A5" s="4" t="str">
        <v>Eficiencia de datos</v>
      </c>
      <c r="B5" s="11">
        <v>5</v>
      </c>
      <c r="C5" s="11">
        <v>5</v>
      </c>
      <c r="D5" s="11">
        <v>5</v>
      </c>
      <c r="E5" s="11">
        <v>5</v>
      </c>
      <c r="F5" s="12">
        <f>IFERROR(AVERAGE(B5:E5),"")</f>
        <v>5</v>
      </c>
    </row>
    <row r="6">
      <c r="A6" s="4" t="str">
        <v>Precisión alcanzable (WER/CER)</v>
      </c>
      <c r="B6" s="11">
        <v>4</v>
      </c>
      <c r="C6" s="11">
        <v>4.5</v>
      </c>
      <c r="D6" s="11">
        <v>5</v>
      </c>
      <c r="E6" s="11">
        <v>5</v>
      </c>
      <c r="F6" s="13">
        <f>IFERROR(AVERAGE(B6:E6),"")</f>
        <v>4.625</v>
      </c>
    </row>
    <row r="7">
      <c r="A7" s="4" t="str">
        <v>Costo computacional</v>
      </c>
      <c r="B7" s="11">
        <v>2</v>
      </c>
      <c r="C7" s="11">
        <v>3</v>
      </c>
      <c r="D7" s="11">
        <v>3</v>
      </c>
      <c r="E7" s="11">
        <v>3</v>
      </c>
      <c r="F7" s="13">
        <f>IFERROR(AVERAGE(B7:E7),"")</f>
        <v>2.75</v>
      </c>
    </row>
    <row r="8">
      <c r="A8" s="4" t="str">
        <v>Madurez y soporte de herramientas</v>
      </c>
      <c r="B8" s="11">
        <v>4</v>
      </c>
      <c r="C8" s="11">
        <v>4.8</v>
      </c>
      <c r="D8" s="11">
        <v>4</v>
      </c>
      <c r="E8" s="11">
        <v>4</v>
      </c>
      <c r="F8" s="13">
        <f>IFERROR(AVERAGE(B8:E8),"")</f>
        <v>4.2</v>
      </c>
    </row>
    <row r="9">
      <c r="A9" s="4" t="str">
        <v>Transferibilidad entre lenguas</v>
      </c>
      <c r="B9" s="11">
        <v>3</v>
      </c>
      <c r="C9" s="11">
        <v>4.5</v>
      </c>
      <c r="D9" s="11">
        <v>4</v>
      </c>
      <c r="E9" s="11">
        <v>5</v>
      </c>
      <c r="F9" s="13">
        <f>IFERROR(AVERAGE(B9:E9),"")</f>
        <v>4.125</v>
      </c>
    </row>
    <row r="10">
      <c r="A10" s="4" t="str">
        <v>Dependencia de anotación por hablantes</v>
      </c>
      <c r="B10" s="11">
        <v>4</v>
      </c>
      <c r="C10" s="11">
        <v>4.6</v>
      </c>
      <c r="D10" s="11">
        <v>5</v>
      </c>
      <c r="E10" s="11">
        <v>4</v>
      </c>
      <c r="F10" s="13">
        <f>IFERROR(AVERAGE(B10:E10),"")</f>
        <v>4.4</v>
      </c>
    </row>
    <row r="11">
      <c r="A11" s="4" t="str">
        <v>Reproducibilidad metodológica</v>
      </c>
      <c r="F11" s="13" t="str">
        <f>IFERROR(AVERAGE(B11:E11),"")</f>
        <v/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46.83203125" customWidth="1"/>
    <col min="2" max="2" width="32.83203125" customWidth="1"/>
    <col min="3" max="3" width="80.83203125" customWidth="1"/>
  </cols>
  <sheetData>
    <row r="1" ht="24" customHeight="1">
      <c r="A1" s="3" t="str">
        <v>Priorización — 5. Resultado final: finalistas + tabla de descarte documentada</v>
      </c>
    </row>
    <row r="2">
      <c r="A2" s="5" t="str">
        <v>Corte elegido (ponderación ≥)</v>
      </c>
      <c r="B2" s="14">
        <v>4</v>
      </c>
    </row>
    <row r="3">
      <c r="A3" s="6" t="str">
        <v>Convención práctica del curso, no un estándar de la literatura: documenta por qué elegiste este corte.</v>
      </c>
    </row>
    <row r="5">
      <c r="A5" s="15" t="str">
        <v>Finalistas (ponderación ≥ corte)</v>
      </c>
    </row>
    <row r="6">
      <c r="A6" s="8" t="str">
        <v>Criterio</v>
      </c>
      <c r="B6" s="8" t="str">
        <v>Ponderación</v>
      </c>
      <c r="C6" s="8" t="str">
        <v>Por qué queda</v>
      </c>
    </row>
    <row r="7">
      <c r="A7" s="4" t="str">
        <v>Eficiencia de datos</v>
      </c>
      <c r="B7" s="16">
        <f>'Prior 4. Panel'!F5</f>
        <v>5</v>
      </c>
      <c r="C7" s="4" t="str">
        <v>Escasez de recursos digitales es la premisa central de la tesis; consistente en las 5 preguntas.</v>
      </c>
    </row>
    <row r="8">
      <c r="A8" s="4" t="str">
        <v>Precisión alcanzable (WER/CER)</v>
      </c>
      <c r="B8" s="16">
        <f>'Prior 4. Panel'!F6</f>
        <v>4.625</v>
      </c>
      <c r="C8" s="4" t="str">
        <v>Es la métrica de evaluación del OE1 del Anexo 2 vigente.</v>
      </c>
    </row>
    <row r="9">
      <c r="A9" s="4" t="str">
        <v>Dependencia de anotación por hablantes</v>
      </c>
      <c r="B9" s="16">
        <f>'Prior 4. Panel'!F10</f>
        <v>4.4</v>
      </c>
      <c r="C9" s="4" t="str">
        <v>Criterio ético-operativo: conecta la decisión con el CITS y la participación comunitaria.</v>
      </c>
    </row>
    <row r="10">
      <c r="A10" s="4" t="str">
        <v>Madurez y soporte de herramientas</v>
      </c>
      <c r="B10" s="16">
        <f>'Prior 4. Panel'!F8</f>
        <v>4.2</v>
      </c>
      <c r="C10" s="4" t="str">
        <v>Existencia de implementaciones estables (Whisper, wav2vec 2.0, MMS) o necesidad de construir desde cero.</v>
      </c>
    </row>
    <row r="11">
      <c r="A11" s="4" t="str">
        <v>Transferibilidad entre lenguas</v>
      </c>
      <c r="B11" s="16">
        <f>'Prior 4. Panel'!F9</f>
        <v>4.125</v>
      </c>
      <c r="C11" s="4" t="str">
        <v/>
      </c>
    </row>
    <row r="13">
      <c r="A13" s="15" t="str">
        <v>Tabla de descarte, con razón documentada de cada uno</v>
      </c>
    </row>
    <row r="14">
      <c r="A14" s="8" t="str">
        <v>Criterio</v>
      </c>
      <c r="B14" s="8" t="str">
        <v>Etapa de descarte</v>
      </c>
      <c r="C14" s="8" t="str">
        <v>Razón</v>
      </c>
    </row>
    <row r="15">
      <c r="A15" s="4" t="str">
        <v>Costo computacional</v>
      </c>
      <c r="B15" s="4" t="str">
        <v>Panel de importancia (2.75)</v>
      </c>
      <c r="C15" s="4" t="str">
        <v/>
      </c>
    </row>
    <row r="16">
      <c r="A16" s="4" t="str">
        <v>Reproducibilidad metodológica</v>
      </c>
      <c r="B16" s="4" t="str">
        <v>Panel de importancia (sin calificar)</v>
      </c>
      <c r="C16" s="4" t="str">
        <v>Ponderación 2.8, la más baja: depende de qué tan documentado quede el procedimiento, no de evidencia técnica citable per se.</v>
      </c>
    </row>
    <row r="17">
      <c r="A17" s="4" t="str">
        <v>Tiempo total de entrenamiento</v>
      </c>
      <c r="B17" s="4" t="str">
        <v>Tamizaje (fusionado con Costo computacional)</v>
      </c>
      <c r="C17" s="4" t="str">
        <v>Se funde con Costo computacional: en la práctica el tiempo es consecuencia directa del costo de cómputo disponible, no una dimensión independiente.</v>
      </c>
    </row>
    <row r="18">
      <c r="A18" s="4" t="str">
        <v>Complejidad de implementación técnica</v>
      </c>
      <c r="B18" s="4" t="str">
        <v>Tamizaje (fusionado con Madurez y soporte de herramientas)</v>
      </c>
      <c r="C18" s="4" t="str">
        <v>Se funde con Madurez y soporte de herramientas: lo que hace compleja o simple una estrategia es si existe una implementación madura y documentada o si hay que construirla desde cero.</v>
      </c>
    </row>
    <row r="19">
      <c r="A19" s="4" t="str">
        <v>Robustez ante datos ruidosos o de campo</v>
      </c>
      <c r="B19" s="4" t="str">
        <v>Tamizaje</v>
      </c>
      <c r="C19" s="4" t="str">
        <v>No es medible aún por alternativa: no existe todavía corpus grabado en campo para esta lengua.</v>
      </c>
    </row>
    <row r="20">
      <c r="A20" s="4" t="str">
        <v>Escalabilidad si crece el corpus en el futuro</v>
      </c>
      <c r="B20" s="4" t="str">
        <v>Tamizaje</v>
      </c>
      <c r="C20" s="4" t="str">
        <v>No distingue entre las 4 estrategias en el momento de la decisión; las 4 escalan de forma comparable si el corpus crece.</v>
      </c>
    </row>
    <row r="21">
      <c r="A21" s="4" t="str">
        <v>Riesgo de sobreajuste (overfitting) con corpus pequeño</v>
      </c>
      <c r="B21" s="4" t="str">
        <v>Tamizaje (fusionado con Eficiencia de datos)</v>
      </c>
      <c r="C21" s="4" t="str">
        <v>Es consecuencia directa de Eficiencia de datos; se solaparía con ese criterio al calificar.</v>
      </c>
    </row>
  </sheetData>
  <ignoredErrors>
    <ignoredError numberStoredAsText="1" sqref="A1:C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cols>
    <col min="1" max="1" width="34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  <col min="7" max="7" width="17.83203125" customWidth="1"/>
  </cols>
  <sheetData>
    <row r="1" ht="30" customHeight="1">
      <c r="A1" s="3" t="str">
        <v>AHP, Criterios</v>
      </c>
      <c r="B1" s="6" t="str">
        <v>Media geométrica de los expertos (Forman &amp; Peniwati, 1998); ver juicios individuales más abajo. Objetivo: Seleccionar la estrategia de adaptación de modelos de reconocimiento automático de voz (ASR) con mejor desempeño para una lengua indígena de la región con escasos recursos lingüísticos digitales</v>
      </c>
    </row>
    <row r="2">
      <c r="B2" s="10" t="str">
        <v>Eficiencia de datos</v>
      </c>
      <c r="C2" s="10" t="str">
        <v>Métricas WER/CER</v>
      </c>
      <c r="D2" s="10" t="str">
        <v>Madurez y soporte de herramientas</v>
      </c>
      <c r="E2" s="10" t="str">
        <v>Dependencia de anotación</v>
      </c>
      <c r="F2" s="10" t="str">
        <v>Transferibilidad entre lenguas</v>
      </c>
    </row>
    <row r="3">
      <c r="A3" s="8" t="str">
        <v>Eficiencia de datos</v>
      </c>
      <c r="B3" s="17">
        <v>1</v>
      </c>
      <c r="C3" s="17">
        <f>GEOMEAN(C33,C41,C49)</f>
        <v>1.5874010519681994</v>
      </c>
      <c r="D3" s="17">
        <f>GEOMEAN(D33,D41,D49)</f>
        <v>2.6207413942088964</v>
      </c>
      <c r="E3" s="17">
        <f>GEOMEAN(E33,E41,E49)</f>
        <v>1.5874010519681994</v>
      </c>
      <c r="F3" s="17">
        <f>GEOMEAN(F33,F41,F49)</f>
        <v>2.2894284851066637</v>
      </c>
    </row>
    <row r="4">
      <c r="A4" s="8" t="str">
        <v>Métricas WER/CER</v>
      </c>
      <c r="B4" s="17">
        <f>1/C3</f>
        <v>0.6299605249474366</v>
      </c>
      <c r="C4" s="17">
        <v>1</v>
      </c>
      <c r="D4" s="17">
        <f>GEOMEAN(D34,D42,D50)</f>
        <v>2.6207413942088964</v>
      </c>
      <c r="E4" s="17">
        <f>GEOMEAN(E34,E42,E50)</f>
        <v>1.2599210498948732</v>
      </c>
      <c r="F4" s="17">
        <f>GEOMEAN(F34,F42,F50)</f>
        <v>1.5874010519681994</v>
      </c>
    </row>
    <row r="5">
      <c r="A5" s="8" t="str">
        <v>Madurez y soporte de herramientas</v>
      </c>
      <c r="B5" s="17">
        <f>1/D3</f>
        <v>0.381571414184444</v>
      </c>
      <c r="C5" s="17">
        <f>1/D4</f>
        <v>0.381571414184444</v>
      </c>
      <c r="D5" s="17">
        <v>1</v>
      </c>
      <c r="E5" s="17">
        <f>GEOMEAN(E35,E43,E51)</f>
        <v>0.7937005259840998</v>
      </c>
      <c r="F5" s="17">
        <f>GEOMEAN(F35,F43,F51)</f>
        <v>0.7937005259840998</v>
      </c>
    </row>
    <row r="6">
      <c r="A6" s="8" t="str">
        <v>Dependencia de anotación</v>
      </c>
      <c r="B6" s="17">
        <f>1/E3</f>
        <v>0.6299605249474366</v>
      </c>
      <c r="C6" s="17">
        <f>1/E4</f>
        <v>0.7937005259840997</v>
      </c>
      <c r="D6" s="17">
        <f>1/E5</f>
        <v>1.259921049894873</v>
      </c>
      <c r="E6" s="17">
        <v>1</v>
      </c>
      <c r="F6" s="17">
        <f>GEOMEAN(F36,F44,F52)</f>
        <v>1.5874010519681994</v>
      </c>
    </row>
    <row r="7">
      <c r="A7" s="8" t="str">
        <v>Transferibilidad entre lenguas</v>
      </c>
      <c r="B7" s="17">
        <f>1/F3</f>
        <v>0.43679023236814946</v>
      </c>
      <c r="C7" s="17">
        <f>1/F4</f>
        <v>0.6299605249474366</v>
      </c>
      <c r="D7" s="17">
        <f>1/F5</f>
        <v>1.259921049894873</v>
      </c>
      <c r="E7" s="17">
        <f>1/F6</f>
        <v>0.6299605249474366</v>
      </c>
      <c r="F7" s="17">
        <v>1</v>
      </c>
    </row>
    <row r="8">
      <c r="A8" s="5" t="str">
        <v>Suma</v>
      </c>
      <c r="B8" s="18">
        <f>SUM(B3:B7)</f>
        <v>3.078282696447467</v>
      </c>
      <c r="C8" s="18">
        <f>SUM(C3:C7)</f>
        <v>4.39263351708418</v>
      </c>
      <c r="D8" s="18">
        <f>SUM(D3:D7)</f>
        <v>8.761324888207538</v>
      </c>
      <c r="E8" s="18">
        <f>SUM(E3:E7)</f>
        <v>5.270983152794609</v>
      </c>
      <c r="F8" s="18">
        <f>SUM(F3:F7)</f>
        <v>7.257931115027162</v>
      </c>
    </row>
    <row r="10">
      <c r="A10" s="18" t="str">
        <v>Normalizada</v>
      </c>
      <c r="G10" s="18" t="str">
        <v>Vector prioridad</v>
      </c>
    </row>
    <row r="11">
      <c r="A11" s="2" t="str">
        <v>Eficiencia de datos</v>
      </c>
      <c r="B11" s="19">
        <f>B3/B$8</f>
        <v>0.3248564536174872</v>
      </c>
      <c r="C11" s="19">
        <f>C3/C$8</f>
        <v>0.36137798561941326</v>
      </c>
      <c r="D11" s="19">
        <f>D3/D$8</f>
        <v>0.29912615131260917</v>
      </c>
      <c r="E11" s="19">
        <f>E3/E$8</f>
        <v>0.301158437800466</v>
      </c>
      <c r="F11" s="19">
        <f>F3/F$8</f>
        <v>0.3154381667203376</v>
      </c>
      <c r="G11" s="20">
        <f>AVERAGE(B11:F11)</f>
        <v>0.32039143901406264</v>
      </c>
    </row>
    <row r="12">
      <c r="A12" s="2" t="str">
        <v>Métricas WER/CER</v>
      </c>
      <c r="B12" s="19">
        <f>B4/B$8</f>
        <v>0.20464674205343483</v>
      </c>
      <c r="C12" s="19">
        <f>C4/C$8</f>
        <v>0.22765386552525277</v>
      </c>
      <c r="D12" s="19">
        <f>D4/D$8</f>
        <v>0.29912615131260917</v>
      </c>
      <c r="E12" s="19">
        <f>E4/E$8</f>
        <v>0.23902961048677965</v>
      </c>
      <c r="F12" s="19">
        <f>F4/F$8</f>
        <v>0.21871260925604122</v>
      </c>
      <c r="G12" s="20">
        <f>AVERAGE(B12:F12)</f>
        <v>0.23783379572682356</v>
      </c>
    </row>
    <row r="13">
      <c r="A13" s="2" t="str">
        <v>Madurez y soporte de herramientas</v>
      </c>
      <c r="B13" s="19">
        <f>B5/B$8</f>
        <v>0.12395593641376783</v>
      </c>
      <c r="C13" s="19">
        <f>C5/C$8</f>
        <v>0.08686620741302595</v>
      </c>
      <c r="D13" s="19">
        <f>D5/D$8</f>
        <v>0.11413798857590225</v>
      </c>
      <c r="E13" s="19">
        <f>E5/E$8</f>
        <v>0.15057921890023301</v>
      </c>
      <c r="F13" s="19">
        <f>F5/F$8</f>
        <v>0.10935630462802064</v>
      </c>
      <c r="G13" s="20">
        <f>AVERAGE(B13:F13)</f>
        <v>0.11697913118618992</v>
      </c>
    </row>
    <row r="14">
      <c r="A14" s="2" t="str">
        <v>Dependencia de anotación</v>
      </c>
      <c r="B14" s="19">
        <f>B6/B$8</f>
        <v>0.20464674205343483</v>
      </c>
      <c r="C14" s="19">
        <f>C6/C$8</f>
        <v>0.18068899280970663</v>
      </c>
      <c r="D14" s="19">
        <f>D6/D$8</f>
        <v>0.14380485439943977</v>
      </c>
      <c r="E14" s="19">
        <f>E6/E$8</f>
        <v>0.1897179275691315</v>
      </c>
      <c r="F14" s="19">
        <f>F6/F$8</f>
        <v>0.21871260925604122</v>
      </c>
      <c r="G14" s="20">
        <f>AVERAGE(B14:F14)</f>
        <v>0.1875142252175508</v>
      </c>
    </row>
    <row r="15">
      <c r="A15" s="2" t="str">
        <v>Transferibilidad entre lenguas</v>
      </c>
      <c r="B15" s="19">
        <f>B7/B$8</f>
        <v>0.1418941258618752</v>
      </c>
      <c r="C15" s="19">
        <f>C7/C$8</f>
        <v>0.14341294863260137</v>
      </c>
      <c r="D15" s="19">
        <f>D7/D$8</f>
        <v>0.14380485439943977</v>
      </c>
      <c r="E15" s="19">
        <f>E7/E$8</f>
        <v>0.11951480524338982</v>
      </c>
      <c r="F15" s="19">
        <f>F7/F$8</f>
        <v>0.13778031013955933</v>
      </c>
      <c r="G15" s="20">
        <f>AVERAGE(B15:F15)</f>
        <v>0.1372814088553731</v>
      </c>
    </row>
    <row r="17">
      <c r="A17" s="15" t="str">
        <v>Verificación de consistencia</v>
      </c>
    </row>
    <row r="18">
      <c r="A18" s="2" t="str">
        <v>A·w (Eficiencia de datos)</v>
      </c>
      <c r="B18" s="19">
        <f>B3*$G$11 + C3*$G$12 + D3*$G$13 + E3*$G$14 + F3*$G$15</f>
        <v>1.6164573541810603</v>
      </c>
      <c r="C18" s="19">
        <f>B18/G11</f>
        <v>5.045257635957341</v>
      </c>
      <c r="D18" s="2" t="str">
        <v>lambda parcial</v>
      </c>
    </row>
    <row r="19">
      <c r="A19" s="2" t="str">
        <v>A·w (Métricas WER/CER)</v>
      </c>
      <c r="B19" s="19">
        <f>B4*$G$11 + C4*$G$12 + D4*$G$13 + E4*$G$14 + F4*$G$15</f>
        <v>1.200413578534044</v>
      </c>
      <c r="C19" s="19">
        <f>B19/G12</f>
        <v>5.047279234919337</v>
      </c>
      <c r="D19" s="2" t="str">
        <v>lambda parcial</v>
      </c>
    </row>
    <row r="20">
      <c r="A20" s="2" t="str">
        <v>A·w (Madurez y soporte de herramientas)</v>
      </c>
      <c r="B20" s="19">
        <f>B5*$G$11 + C5*$G$12 + D5*$G$13 + E5*$G$14 + F5*$G$15</f>
        <v>0.587772389040732</v>
      </c>
      <c r="C20" s="19">
        <f>B20/G13</f>
        <v>5.024591848824759</v>
      </c>
      <c r="D20" s="2" t="str">
        <v>lambda parcial</v>
      </c>
    </row>
    <row r="21">
      <c r="A21" s="2" t="str">
        <v>A·w (Dependencia de anotación)</v>
      </c>
      <c r="B21" s="19">
        <f>B6*$G$11 + C6*$G$12 + D6*$G$13 + E6*$G$14 + F6*$G$15</f>
        <v>0.9434221157052793</v>
      </c>
      <c r="C21" s="19">
        <f>B21/G14</f>
        <v>5.031202910663109</v>
      </c>
      <c r="D21" s="2" t="str">
        <v>lambda parcial</v>
      </c>
    </row>
    <row r="22">
      <c r="A22" s="2" t="str">
        <v>A·w (Transferibilidad entre lenguas)</v>
      </c>
      <c r="B22" s="19">
        <f>B7*$G$11 + C7*$G$12 + D7*$G$13 + E7*$G$14 + F7*$G$15</f>
        <v>0.6925621922904571</v>
      </c>
      <c r="C22" s="19">
        <f>B22/G15</f>
        <v>5.044835991012272</v>
      </c>
      <c r="D22" s="2" t="str">
        <v>lambda parcial</v>
      </c>
    </row>
    <row r="23">
      <c r="A23" s="2" t="str">
        <v>lambda_max</v>
      </c>
      <c r="B23" s="19">
        <f>AVERAGE(C18:C22)</f>
        <v>5.0386335242753635</v>
      </c>
    </row>
    <row r="24">
      <c r="A24" s="2" t="str">
        <v>CI = (lambda_max - n) / (n - 1)</v>
      </c>
      <c r="B24" s="19">
        <f>(B23-5)/(5-1)</f>
        <v>0.009658381068840871</v>
      </c>
    </row>
    <row r="25">
      <c r="A25" s="2" t="str">
        <v>RI (tabla Saaty, n=5)</v>
      </c>
      <c r="B25" s="21">
        <v>1.12</v>
      </c>
    </row>
    <row r="26">
      <c r="A26" s="18" t="str">
        <v>CR = CI / RI</v>
      </c>
      <c r="B26" s="20">
        <f>IFERROR(B24/B25,0)</f>
        <v>0.008623554525750777</v>
      </c>
    </row>
    <row r="27">
      <c r="A27" s="18" t="str">
        <v>¿Consistente? (CR &lt; 0.10)</v>
      </c>
      <c r="B27" s="18" t="str">
        <f>IF(B26&lt;0.1,"Sí, consistente","No, revisar juicios")</f>
        <v>Sí, consistente</v>
      </c>
    </row>
    <row r="29">
      <c r="A29" s="15" t="str">
        <v>Juicios individuales de los 3 expertos (entrada de GEOMEAN() de arriba)</v>
      </c>
    </row>
    <row r="31">
      <c r="A31" s="22" t="str">
        <v>Experto 1: Ingeniero/investigador en Machine Learning o voz (ASR)</v>
      </c>
    </row>
    <row r="32">
      <c r="B32" s="10" t="str">
        <v>Eficiencia de datos</v>
      </c>
      <c r="C32" s="10" t="str">
        <v>Métricas WER/CER</v>
      </c>
      <c r="D32" s="10" t="str">
        <v>Madurez y soporte de herramientas</v>
      </c>
      <c r="E32" s="10" t="str">
        <v>Dependencia de anotación</v>
      </c>
      <c r="F32" s="10" t="str">
        <v>Transferibilidad entre lenguas</v>
      </c>
    </row>
    <row r="33">
      <c r="A33" s="8" t="str">
        <v>Eficiencia de datos</v>
      </c>
      <c r="B33" s="23">
        <v>1</v>
      </c>
      <c r="C33" s="23">
        <v>1</v>
      </c>
      <c r="D33" s="23">
        <v>3</v>
      </c>
      <c r="E33" s="23">
        <v>2</v>
      </c>
      <c r="F33" s="23">
        <v>2</v>
      </c>
    </row>
    <row r="34">
      <c r="A34" s="8" t="str">
        <v>Métricas WER/CER</v>
      </c>
      <c r="B34" s="23">
        <f>1/C33</f>
        <v>1</v>
      </c>
      <c r="C34" s="23">
        <v>1</v>
      </c>
      <c r="D34" s="23">
        <v>2</v>
      </c>
      <c r="E34" s="23">
        <v>1</v>
      </c>
      <c r="F34" s="23">
        <v>2</v>
      </c>
    </row>
    <row r="35">
      <c r="A35" s="8" t="str">
        <v>Madurez y soporte de herramientas</v>
      </c>
      <c r="B35" s="23">
        <f>1/D33</f>
        <v>0.3333333333333333</v>
      </c>
      <c r="C35" s="23">
        <f>1/D34</f>
        <v>0.5</v>
      </c>
      <c r="D35" s="23">
        <v>1</v>
      </c>
      <c r="E35" s="23">
        <v>0.5</v>
      </c>
      <c r="F35" s="23">
        <v>1</v>
      </c>
    </row>
    <row r="36">
      <c r="A36" s="8" t="str">
        <v>Dependencia de anotación</v>
      </c>
      <c r="B36" s="23">
        <f>1/E33</f>
        <v>0.5</v>
      </c>
      <c r="C36" s="23">
        <f>1/E34</f>
        <v>1</v>
      </c>
      <c r="D36" s="23">
        <f>1/E35</f>
        <v>2</v>
      </c>
      <c r="E36" s="23">
        <v>1</v>
      </c>
      <c r="F36" s="23">
        <v>1</v>
      </c>
    </row>
    <row r="37">
      <c r="A37" s="8" t="str">
        <v>Transferibilidad entre lenguas</v>
      </c>
      <c r="B37" s="23">
        <f>1/F33</f>
        <v>0.5</v>
      </c>
      <c r="C37" s="23">
        <f>1/F34</f>
        <v>0.5</v>
      </c>
      <c r="D37" s="23">
        <f>1/F35</f>
        <v>1</v>
      </c>
      <c r="E37" s="23">
        <f>1/F36</f>
        <v>1</v>
      </c>
      <c r="F37" s="23">
        <v>1</v>
      </c>
    </row>
    <row r="39">
      <c r="A39" s="22" t="str">
        <v>Experto 2: Ingeniero electrónico, procesamiento de señales</v>
      </c>
    </row>
    <row r="40">
      <c r="B40" s="10" t="str">
        <v>Eficiencia de datos</v>
      </c>
      <c r="C40" s="10" t="str">
        <v>Métricas WER/CER</v>
      </c>
      <c r="D40" s="10" t="str">
        <v>Madurez y soporte de herramientas</v>
      </c>
      <c r="E40" s="10" t="str">
        <v>Dependencia de anotación</v>
      </c>
      <c r="F40" s="10" t="str">
        <v>Transferibilidad entre lenguas</v>
      </c>
    </row>
    <row r="41">
      <c r="A41" s="8" t="str">
        <v>Eficiencia de datos</v>
      </c>
      <c r="B41" s="23">
        <v>1</v>
      </c>
      <c r="C41" s="23">
        <v>2</v>
      </c>
      <c r="D41" s="23">
        <v>2</v>
      </c>
      <c r="E41" s="23">
        <v>2</v>
      </c>
      <c r="F41" s="23">
        <v>2</v>
      </c>
    </row>
    <row r="42">
      <c r="A42" s="8" t="str">
        <v>Métricas WER/CER</v>
      </c>
      <c r="B42" s="23">
        <f>1/C41</f>
        <v>0.5</v>
      </c>
      <c r="C42" s="23">
        <v>1</v>
      </c>
      <c r="D42" s="23">
        <v>3</v>
      </c>
      <c r="E42" s="23">
        <v>1</v>
      </c>
      <c r="F42" s="23">
        <v>2</v>
      </c>
    </row>
    <row r="43">
      <c r="A43" s="8" t="str">
        <v>Madurez y soporte de herramientas</v>
      </c>
      <c r="B43" s="23">
        <f>1/D41</f>
        <v>0.5</v>
      </c>
      <c r="C43" s="23">
        <f>1/D42</f>
        <v>0.3333333333333333</v>
      </c>
      <c r="D43" s="23">
        <v>1</v>
      </c>
      <c r="E43" s="23">
        <v>1</v>
      </c>
      <c r="F43" s="23">
        <v>0.5</v>
      </c>
    </row>
    <row r="44">
      <c r="A44" s="8" t="str">
        <v>Dependencia de anotación</v>
      </c>
      <c r="B44" s="23">
        <f>1/E41</f>
        <v>0.5</v>
      </c>
      <c r="C44" s="23">
        <f>1/E42</f>
        <v>1</v>
      </c>
      <c r="D44" s="23">
        <f>1/E43</f>
        <v>1</v>
      </c>
      <c r="E44" s="23">
        <v>1</v>
      </c>
      <c r="F44" s="23">
        <v>2</v>
      </c>
    </row>
    <row r="45">
      <c r="A45" s="8" t="str">
        <v>Transferibilidad entre lenguas</v>
      </c>
      <c r="B45" s="23">
        <f>1/F41</f>
        <v>0.5</v>
      </c>
      <c r="C45" s="23">
        <f>1/F42</f>
        <v>0.5</v>
      </c>
      <c r="D45" s="23">
        <f>1/F43</f>
        <v>2</v>
      </c>
      <c r="E45" s="23">
        <f>1/F44</f>
        <v>0.5</v>
      </c>
      <c r="F45" s="23">
        <v>1</v>
      </c>
    </row>
    <row r="47">
      <c r="A47" s="22" t="str">
        <v>Experto 3: Hablante nativo colaborador</v>
      </c>
    </row>
    <row r="48">
      <c r="B48" s="10" t="str">
        <v>Eficiencia de datos</v>
      </c>
      <c r="C48" s="10" t="str">
        <v>Métricas WER/CER</v>
      </c>
      <c r="D48" s="10" t="str">
        <v>Madurez y soporte de herramientas</v>
      </c>
      <c r="E48" s="10" t="str">
        <v>Dependencia de anotación</v>
      </c>
      <c r="F48" s="10" t="str">
        <v>Transferibilidad entre lenguas</v>
      </c>
    </row>
    <row r="49">
      <c r="A49" s="8" t="str">
        <v>Eficiencia de datos</v>
      </c>
      <c r="B49" s="23">
        <v>1</v>
      </c>
      <c r="C49" s="23">
        <v>2</v>
      </c>
      <c r="D49" s="23">
        <v>3</v>
      </c>
      <c r="E49" s="23">
        <v>1</v>
      </c>
      <c r="F49" s="23">
        <v>3</v>
      </c>
    </row>
    <row r="50">
      <c r="A50" s="8" t="str">
        <v>Métricas WER/CER</v>
      </c>
      <c r="B50" s="23">
        <f>1/C49</f>
        <v>0.5</v>
      </c>
      <c r="C50" s="23">
        <v>1</v>
      </c>
      <c r="D50" s="23">
        <v>3</v>
      </c>
      <c r="E50" s="23">
        <v>2</v>
      </c>
      <c r="F50" s="23">
        <v>1</v>
      </c>
    </row>
    <row r="51">
      <c r="A51" s="8" t="str">
        <v>Madurez y soporte de herramientas</v>
      </c>
      <c r="B51" s="23">
        <f>1/D49</f>
        <v>0.3333333333333333</v>
      </c>
      <c r="C51" s="23">
        <f>1/D50</f>
        <v>0.3333333333333333</v>
      </c>
      <c r="D51" s="23">
        <v>1</v>
      </c>
      <c r="E51" s="23">
        <v>1</v>
      </c>
      <c r="F51" s="23">
        <v>1</v>
      </c>
    </row>
    <row r="52">
      <c r="A52" s="8" t="str">
        <v>Dependencia de anotación</v>
      </c>
      <c r="B52" s="23">
        <f>1/E49</f>
        <v>1</v>
      </c>
      <c r="C52" s="23">
        <f>1/E50</f>
        <v>0.5</v>
      </c>
      <c r="D52" s="23">
        <f>1/E51</f>
        <v>1</v>
      </c>
      <c r="E52" s="23">
        <v>1</v>
      </c>
      <c r="F52" s="23">
        <v>2</v>
      </c>
    </row>
    <row r="53">
      <c r="A53" s="8" t="str">
        <v>Transferibilidad entre lenguas</v>
      </c>
      <c r="B53" s="23">
        <f>1/F49</f>
        <v>0.3333333333333333</v>
      </c>
      <c r="C53" s="23">
        <f>1/F50</f>
        <v>1</v>
      </c>
      <c r="D53" s="23">
        <f>1/F51</f>
        <v>1</v>
      </c>
      <c r="E53" s="23">
        <f>1/F52</f>
        <v>0.5</v>
      </c>
      <c r="F53" s="23">
        <v>1</v>
      </c>
    </row>
    <row r="56">
      <c r="A56" s="18" t="str">
        <v>Verificación con el método EXACTO (Saaty, 1980): iteración de potencias</v>
      </c>
    </row>
    <row r="57">
      <c r="A57" s="6" t="str">
        <v>w(k+1) = A·w(k), normalizado en cada paso. Arranca de un vector parejo (1/n cada uno) y converge al mismo vector de prioridad que el atajo de la columna «Vector prioridad» (normalizar + promediar).</v>
      </c>
    </row>
    <row r="59">
      <c r="A59" s="18" t="str">
        <v>w(0), arranque parejo</v>
      </c>
      <c r="B59" s="19">
        <f>1/5</f>
        <v>0.2</v>
      </c>
      <c r="C59" s="19">
        <f>1/5</f>
        <v>0.2</v>
      </c>
      <c r="D59" s="19">
        <f>1/5</f>
        <v>0.2</v>
      </c>
      <c r="E59" s="19">
        <f>1/5</f>
        <v>0.2</v>
      </c>
      <c r="F59" s="19">
        <f>1/5</f>
        <v>0.2</v>
      </c>
    </row>
    <row r="60">
      <c r="A60" s="2" t="str">
        <v>Iteración 1, A·w(0) (sin normalizar)</v>
      </c>
      <c r="B60" s="19">
        <f>SUMPRODUCT(B3:F3,B59:F59)</f>
        <v>1.8169943966503916</v>
      </c>
      <c r="C60" s="19">
        <f>SUMPRODUCT(B4:F4,B59:F59)</f>
        <v>1.4196048042038811</v>
      </c>
      <c r="D60" s="19">
        <f>SUMPRODUCT(B5:F5,B59:F59)</f>
        <v>0.6701087760674176</v>
      </c>
      <c r="E60" s="19">
        <f>SUMPRODUCT(B6:F6,B59:F59)</f>
        <v>1.0541966305589217</v>
      </c>
      <c r="F60" s="19">
        <f>SUMPRODUCT(B7:F7,B59:F59)</f>
        <v>0.7913264664315791</v>
      </c>
    </row>
    <row r="61">
      <c r="A61" s="18" t="str">
        <v>w(1)</v>
      </c>
      <c r="B61" s="19">
        <f>B60/SUM(B60:F60)</f>
        <v>0.31587646137703274</v>
      </c>
      <c r="C61" s="19">
        <f>C60/SUM(B60:F60)</f>
        <v>0.2467920335541012</v>
      </c>
      <c r="D61" s="19">
        <f>D60/SUM(B60:F60)</f>
        <v>0.11649545497338046</v>
      </c>
      <c r="E61" s="19">
        <f>E60/SUM(B60:F60)</f>
        <v>0.18326743432473835</v>
      </c>
      <c r="F61" s="19">
        <f>F60/SUM(B60:F60)</f>
        <v>0.13756861577074725</v>
      </c>
    </row>
    <row r="62">
      <c r="A62" s="2" t="str">
        <v>Iteración 2, A·w(1) (sin normalizar)</v>
      </c>
      <c r="B62" s="19">
        <f>SUMPRODUCT(B3:F3,B61:F61)</f>
        <v>1.618811281784966</v>
      </c>
      <c r="C62" s="19">
        <f>SUMPRODUCT(B4:F4,B61:F61)</f>
        <v>1.2003652597259096</v>
      </c>
      <c r="D62" s="19">
        <f>SUMPRODUCT(B5:F5,B61:F61)</f>
        <v>0.5858414100167338</v>
      </c>
      <c r="E62" s="19">
        <f>SUMPRODUCT(B6:F6,B61:F61)</f>
        <v>0.9432877439232639</v>
      </c>
      <c r="F62" s="19">
        <f>SUMPRODUCT(B7:F7,B61:F61)</f>
        <v>0.6932359328168616</v>
      </c>
    </row>
    <row r="63">
      <c r="A63" s="18" t="str">
        <v>w(2)</v>
      </c>
      <c r="B63" s="19">
        <f>B62/SUM(B62:F62)</f>
        <v>0.3210944986962622</v>
      </c>
      <c r="C63" s="19">
        <f>C62/SUM(B62:F62)</f>
        <v>0.23809488212801944</v>
      </c>
      <c r="D63" s="19">
        <f>D62/SUM(B62:F62)</f>
        <v>0.11620283104119243</v>
      </c>
      <c r="E63" s="19">
        <f>E62/SUM(B62:F62)</f>
        <v>0.18710303583219165</v>
      </c>
      <c r="F63" s="19">
        <f>F62/SUM(B62:F62)</f>
        <v>0.1375047523023342</v>
      </c>
    </row>
    <row r="64">
      <c r="A64" s="2" t="str">
        <v>Iteración 3, A·w(2) (sin normalizar)</v>
      </c>
      <c r="B64" s="19">
        <f>SUMPRODUCT(B3:F3,B63:F63)</f>
        <v>1.615398987153405</v>
      </c>
      <c r="C64" s="19">
        <f>SUMPRODUCT(B4:F4,B63:F63)</f>
        <v>1.198919552317931</v>
      </c>
      <c r="D64" s="19">
        <f>SUMPRODUCT(B5:F5,B63:F63)</f>
        <v>0.5872148860601456</v>
      </c>
      <c r="E64" s="19">
        <f>SUMPRODUCT(B6:F6,B63:F63)</f>
        <v>0.943037509309282</v>
      </c>
      <c r="F64" s="19">
        <f>SUMPRODUCT(B7:F7,B63:F63)</f>
        <v>0.6920199894909564</v>
      </c>
    </row>
    <row r="65">
      <c r="A65" s="18" t="str">
        <v>w(3)</v>
      </c>
      <c r="B65" s="19">
        <f>B64/SUM(B64:F64)</f>
        <v>0.32073261684792154</v>
      </c>
      <c r="C65" s="19">
        <f>C64/SUM(B64:F64)</f>
        <v>0.23804187600902083</v>
      </c>
      <c r="D65" s="19">
        <f>D64/SUM(B64:F64)</f>
        <v>0.11658975185443715</v>
      </c>
      <c r="E65" s="19">
        <f>E64/SUM(B64:F64)</f>
        <v>0.1872372649431339</v>
      </c>
      <c r="F65" s="19">
        <f>F64/SUM(B64:F64)</f>
        <v>0.1373984903454864</v>
      </c>
    </row>
    <row r="66">
      <c r="A66" s="2" t="str">
        <v>Iteración 4, A·w(3) (sin normalizar)</v>
      </c>
      <c r="B66" s="19">
        <f>SUMPRODUCT(B3:F3,B65:F65)</f>
        <v>1.6159367790085803</v>
      </c>
      <c r="C66" s="19">
        <f>SUMPRODUCT(B4:F4,B65:F65)</f>
        <v>1.1996530320516348</v>
      </c>
      <c r="D66" s="19">
        <f>SUMPRODUCT(B5:F5,B65:F65)</f>
        <v>0.5874656950298796</v>
      </c>
      <c r="E66" s="19">
        <f>SUMPRODUCT(B6:F6,B65:F65)</f>
        <v>0.94322050549171</v>
      </c>
      <c r="F66" s="19">
        <f>SUMPRODUCT(B7:F7,B65:F65)</f>
        <v>0.692294318033374</v>
      </c>
    </row>
    <row r="67">
      <c r="A67" s="18" t="str">
        <v>w(4)</v>
      </c>
      <c r="B67" s="19">
        <f>B66/SUM(B66:F66)</f>
        <v>0.3207133518630468</v>
      </c>
      <c r="C67" s="19">
        <f>C66/SUM(B66:F66)</f>
        <v>0.23809393410675253</v>
      </c>
      <c r="D67" s="19">
        <f>D66/SUM(B66:F66)</f>
        <v>0.11659372730731483</v>
      </c>
      <c r="E67" s="19">
        <f>E66/SUM(B66:F66)</f>
        <v>0.18720002774353425</v>
      </c>
      <c r="F67" s="19">
        <f>F66/SUM(B66:F66)</f>
        <v>0.13739895897935162</v>
      </c>
    </row>
    <row r="68">
      <c r="A68" s="2" t="str">
        <v>Iteración 5, A·w(4) (sin normalizar)</v>
      </c>
      <c r="B68" s="19">
        <f>SUMPRODUCT(B3:F3,B67:F67)</f>
        <v>1.615952532270629</v>
      </c>
      <c r="C68" s="19">
        <f>SUMPRODUCT(B4:F4,B67:F67)</f>
        <v>1.1996572005815749</v>
      </c>
      <c r="D68" s="19">
        <f>SUMPRODUCT(B5:F5,B67:F67)</f>
        <v>0.5874530001672424</v>
      </c>
      <c r="E68" s="19">
        <f>SUMPRODUCT(B6:F6,B67:F67)</f>
        <v>0.9432182033183312</v>
      </c>
      <c r="F68" s="19">
        <f>SUMPRODUCT(B7:F7,B67:F67)</f>
        <v>0.6923007172475503</v>
      </c>
    </row>
    <row r="69">
      <c r="A69" s="18" t="str">
        <v>w(5)</v>
      </c>
      <c r="B69" s="19">
        <f>B68/SUM(B68:F68)</f>
        <v>0.32071575760229226</v>
      </c>
      <c r="C69" s="19">
        <f>C68/SUM(B68:F68)</f>
        <v>0.2380942263241738</v>
      </c>
      <c r="D69" s="19">
        <f>D68/SUM(B68:F68)</f>
        <v>0.11659094573752232</v>
      </c>
      <c r="E69" s="19">
        <f>E68/SUM(B68:F68)</f>
        <v>0.18719915011145266</v>
      </c>
      <c r="F69" s="19">
        <f>F68/SUM(B68:F68)</f>
        <v>0.13739992022455894</v>
      </c>
    </row>
    <row r="70">
      <c r="A70" s="2" t="str">
        <v>Iteración 6, A·w(5) (sin normalizar)</v>
      </c>
      <c r="B70" s="19">
        <f>SUMPRODUCT(B3:F3,B69:F69)</f>
        <v>1.6159489196490897</v>
      </c>
      <c r="C70" s="19">
        <f>SUMPRODUCT(B4:F4,B69:F69)</f>
        <v>1.1996521386791776</v>
      </c>
      <c r="D70" s="19">
        <f>SUMPRODUCT(B5:F5,B69:F69)</f>
        <v>0.5874513144243726</v>
      </c>
      <c r="E70" s="19">
        <f>SUMPRODUCT(B6:F6,B69:F69)</f>
        <v>0.9432170944634483</v>
      </c>
      <c r="F70" s="19">
        <f>SUMPRODUCT(B7:F7,B69:F69)</f>
        <v>0.6922988559497015</v>
      </c>
    </row>
    <row r="71">
      <c r="A71" s="18" t="str">
        <v>w(6)</v>
      </c>
      <c r="B71" s="19">
        <f>B70/SUM(B70:F70)</f>
        <v>0.32071588911863175</v>
      </c>
      <c r="C71" s="19">
        <f>C70/SUM(B70:F70)</f>
        <v>0.23809385161327384</v>
      </c>
      <c r="D71" s="19">
        <f>D70/SUM(B70:F70)</f>
        <v>0.11659091963156515</v>
      </c>
      <c r="E71" s="19">
        <f>E70/SUM(B70:F70)</f>
        <v>0.18719942530635653</v>
      </c>
      <c r="F71" s="19">
        <f>F70/SUM(B70:F70)</f>
        <v>0.1373999143301727</v>
      </c>
    </row>
    <row r="73">
      <c r="A73" s="18" t="str">
        <v>Comparando con el atajo (normalizar + promediar)</v>
      </c>
    </row>
    <row r="74">
      <c r="A74" s="2" t="str">
        <v>Potencias, w(6)</v>
      </c>
      <c r="B74" s="19">
        <f>B71</f>
        <v>0.32071588911863175</v>
      </c>
      <c r="C74" s="19">
        <f>C71</f>
        <v>0.23809385161327384</v>
      </c>
      <c r="D74" s="19">
        <f>D71</f>
        <v>0.11659091963156515</v>
      </c>
      <c r="E74" s="19">
        <f>E71</f>
        <v>0.18719942530635653</v>
      </c>
      <c r="F74" s="19">
        <f>F71</f>
        <v>0.1373999143301727</v>
      </c>
    </row>
    <row r="75">
      <c r="A75" s="2" t="str">
        <v>Atajo (normalizar+promediar)</v>
      </c>
      <c r="B75" s="19">
        <f>G11</f>
        <v>0.32039143901406264</v>
      </c>
      <c r="C75" s="19">
        <f>G12</f>
        <v>0.23783379572682356</v>
      </c>
      <c r="D75" s="19">
        <f>G13</f>
        <v>0.11697913118618992</v>
      </c>
      <c r="E75" s="19">
        <f>G14</f>
        <v>0.1875142252175508</v>
      </c>
      <c r="F75" s="19">
        <f>G15</f>
        <v>0.1372814088553731</v>
      </c>
    </row>
    <row r="76">
      <c r="A76" s="18" t="str">
        <v>Diferencia máxima</v>
      </c>
      <c r="B76" s="24">
        <f>MAX(ABS(B74-B75),ABS(C74-C75),ABS(D74-D75),ABS(E74-E75),ABS(F74-F75))</f>
        <v>0.0003882115546247761</v>
      </c>
    </row>
  </sheetData>
  <mergeCells count="1">
    <mergeCell ref="B1:F1"/>
  </mergeCells>
  <ignoredErrors>
    <ignoredError numberStoredAsText="1" sqref="A1:G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34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</cols>
  <sheetData>
    <row r="1" ht="30" customHeight="1">
      <c r="A1" s="3" t="str">
        <v>AHP, Eficiencia de datos</v>
      </c>
      <c r="B1" s="6" t="str">
        <v>Media geométrica de los expertos. Prefiere la estrategia que necesita MENOS horas de audio transcrito para un desempeño aceptable.</v>
      </c>
    </row>
    <row r="2">
      <c r="B2" s="10" t="str">
        <v>Fine-tuning supervisado</v>
      </c>
      <c r="C2" s="10" t="str">
        <v>Transfer learning cross-lingual</v>
      </c>
      <c r="D2" s="10" t="str">
        <v>Aprendizaje autosupervisado</v>
      </c>
      <c r="E2" s="10" t="str">
        <v>Data augmentation</v>
      </c>
    </row>
    <row r="3">
      <c r="A3" s="8" t="str">
        <v>Fine-tuning supervisado</v>
      </c>
      <c r="B3" s="17">
        <v>1</v>
      </c>
      <c r="C3" s="17">
        <f>GEOMEAN(C30,C37,C44)</f>
        <v>0.4367902323681494</v>
      </c>
      <c r="D3" s="17">
        <f>GEOMEAN(D30,D37,D44)</f>
        <v>0.3466806371753174</v>
      </c>
      <c r="E3" s="17">
        <f>GEOMEAN(E30,E37,E44)</f>
        <v>0.5503212081491045</v>
      </c>
    </row>
    <row r="4">
      <c r="A4" s="8" t="str">
        <v>Transfer learning cross-lingual</v>
      </c>
      <c r="B4" s="17">
        <f>1/C3</f>
        <v>2.2894284851066637</v>
      </c>
      <c r="C4" s="17">
        <v>1</v>
      </c>
      <c r="D4" s="17">
        <f>GEOMEAN(D31,D38,D45)</f>
        <v>1</v>
      </c>
      <c r="E4" s="17">
        <f>GEOMEAN(E31,E38,E45)</f>
        <v>1.2599210498948732</v>
      </c>
    </row>
    <row r="5">
      <c r="A5" s="8" t="str">
        <v>Aprendizaje autosupervisado</v>
      </c>
      <c r="B5" s="17">
        <f>1/D3</f>
        <v>2.8844991406148166</v>
      </c>
      <c r="C5" s="17">
        <f>1/D4</f>
        <v>1</v>
      </c>
      <c r="D5" s="17">
        <v>1</v>
      </c>
      <c r="E5" s="17">
        <f>GEOMEAN(E32,E39,E46)</f>
        <v>2</v>
      </c>
    </row>
    <row r="6">
      <c r="A6" s="8" t="str">
        <v>Data augmentation</v>
      </c>
      <c r="B6" s="17">
        <f>1/E3</f>
        <v>1.8171205928321397</v>
      </c>
      <c r="C6" s="17">
        <f>1/E4</f>
        <v>0.7937005259840997</v>
      </c>
      <c r="D6" s="17">
        <f>1/E5</f>
        <v>0.5</v>
      </c>
      <c r="E6" s="17">
        <v>1</v>
      </c>
    </row>
    <row r="7">
      <c r="A7" s="24" t="str">
        <v>Suma</v>
      </c>
      <c r="B7" s="18">
        <f>SUM(B3:B6)</f>
        <v>7.991048218553621</v>
      </c>
      <c r="C7" s="18">
        <f>SUM(C3:C6)</f>
        <v>3.230490758352249</v>
      </c>
      <c r="D7" s="18">
        <f>SUM(D3:D6)</f>
        <v>2.8466806371753175</v>
      </c>
      <c r="E7" s="18">
        <f>SUM(E3:E6)</f>
        <v>4.810242258043978</v>
      </c>
    </row>
    <row r="9">
      <c r="A9" s="18" t="str">
        <v>Normalizada</v>
      </c>
      <c r="F9" s="18" t="str">
        <v>Vector prioridad</v>
      </c>
    </row>
    <row r="10">
      <c r="A10" s="2" t="str">
        <v>Fine-tuning supervisado</v>
      </c>
      <c r="B10" s="19">
        <f>B3/B$7</f>
        <v>0.1251400282729116</v>
      </c>
      <c r="C10" s="19">
        <f>C3/C$7</f>
        <v>0.1352086308369257</v>
      </c>
      <c r="D10" s="19">
        <f>D3/D$7</f>
        <v>0.12178416948074618</v>
      </c>
      <c r="E10" s="19">
        <f>E3/E$7</f>
        <v>0.1144061314643403</v>
      </c>
      <c r="F10" s="20">
        <f>AVERAGE(B10:E10)</f>
        <v>0.12413474001373094</v>
      </c>
    </row>
    <row r="11">
      <c r="A11" s="2" t="str">
        <v>Transfer learning cross-lingual</v>
      </c>
      <c r="B11" s="19">
        <f>B4/B$7</f>
        <v>0.2864991453550571</v>
      </c>
      <c r="C11" s="19">
        <f>C4/C$7</f>
        <v>0.309550490870329</v>
      </c>
      <c r="D11" s="19">
        <f>D4/D$7</f>
        <v>0.3512863322077015</v>
      </c>
      <c r="E11" s="19">
        <f>E4/E$7</f>
        <v>0.2619246562453184</v>
      </c>
      <c r="F11" s="20">
        <f>AVERAGE(B11:E11)</f>
        <v>0.3023151561696015</v>
      </c>
    </row>
    <row r="12">
      <c r="A12" s="2" t="str">
        <v>Aprendizaje autosupervisado</v>
      </c>
      <c r="B12" s="19">
        <f>B5/B$7</f>
        <v>0.3609663040097274</v>
      </c>
      <c r="C12" s="19">
        <f>C5/C$7</f>
        <v>0.309550490870329</v>
      </c>
      <c r="D12" s="19">
        <f>D5/D$7</f>
        <v>0.3512863322077015</v>
      </c>
      <c r="E12" s="19">
        <f>E5/E$7</f>
        <v>0.4157794748602275</v>
      </c>
      <c r="F12" s="20">
        <f>AVERAGE(B12:E12)</f>
        <v>0.35939565048699634</v>
      </c>
    </row>
    <row r="13">
      <c r="A13" s="2" t="str">
        <v>Data augmentation</v>
      </c>
      <c r="B13" s="19">
        <f>B6/B$7</f>
        <v>0.22739452236230384</v>
      </c>
      <c r="C13" s="19">
        <f>C6/C$7</f>
        <v>0.24569038742241636</v>
      </c>
      <c r="D13" s="19">
        <f>D6/D$7</f>
        <v>0.17564316610385075</v>
      </c>
      <c r="E13" s="19">
        <f>E6/E$7</f>
        <v>0.20788973743011374</v>
      </c>
      <c r="F13" s="20">
        <f>AVERAGE(B13:E13)</f>
        <v>0.21415445332967117</v>
      </c>
    </row>
    <row r="15">
      <c r="A15" s="15" t="str">
        <v>Verificación de consistencia</v>
      </c>
    </row>
    <row r="16">
      <c r="A16" s="2" t="str">
        <v>A·w (Fine-tuning supervisado)</v>
      </c>
      <c r="B16" s="19">
        <f>B3*$F$10 + C3*$F$11 + D3*$F$12 + E3*$F$13</f>
        <v>0.49863229792122976</v>
      </c>
      <c r="C16" s="19">
        <f>B16/F10</f>
        <v>4.016863432960624</v>
      </c>
      <c r="D16" s="2" t="str">
        <v>lambda parcial</v>
      </c>
    </row>
    <row r="17">
      <c r="A17" s="2" t="str">
        <v>A·w (Transfer learning cross-lingual)</v>
      </c>
      <c r="B17" s="19">
        <f>B4*$F$10 + C4*$F$11 + D4*$F$12 + E4*$F$13</f>
        <v>1.2157261201141254</v>
      </c>
      <c r="C17" s="19">
        <f>B17/F11</f>
        <v>4.021386607001907</v>
      </c>
      <c r="D17" s="2" t="str">
        <v>lambda parcial</v>
      </c>
    </row>
    <row r="18">
      <c r="A18" s="2" t="str">
        <v>A·w (Aprendizaje autosupervisado)</v>
      </c>
      <c r="B18" s="19">
        <f>B5*$F$10 + C5*$F$11 + D5*$F$12 + E5*$F$13</f>
        <v>1.4480862642059908</v>
      </c>
      <c r="C18" s="19">
        <f>B18/F12</f>
        <v>4.029225902549941</v>
      </c>
      <c r="D18" s="2" t="str">
        <v>lambda parcial</v>
      </c>
    </row>
    <row r="19">
      <c r="A19" s="2" t="str">
        <v>A·w (Data augmentation)</v>
      </c>
      <c r="B19" s="19">
        <f>B6*$F$10 + C6*$F$11 + D6*$F$12 + E6*$F$13</f>
        <v>0.8593677694027616</v>
      </c>
      <c r="C19" s="19">
        <f>B19/F13</f>
        <v>4.012840994157817</v>
      </c>
      <c r="D19" s="2" t="str">
        <v>lambda parcial</v>
      </c>
    </row>
    <row r="20">
      <c r="A20" s="2" t="str">
        <v>lambda_max</v>
      </c>
      <c r="B20" s="19">
        <f>AVERAGE(C16:C19)</f>
        <v>4.020079234167572</v>
      </c>
    </row>
    <row r="21">
      <c r="A21" s="2" t="str">
        <v>CI = (lambda_max - n) / (n - 1)</v>
      </c>
      <c r="B21" s="19">
        <f>(B20-4)/(4-1)</f>
        <v>0.006693078055857467</v>
      </c>
    </row>
    <row r="22">
      <c r="A22" s="2" t="str">
        <v>RI (tabla Saaty, n=4)</v>
      </c>
      <c r="B22" s="21">
        <v>0.9</v>
      </c>
    </row>
    <row r="23">
      <c r="A23" s="18" t="str">
        <v>CR = CI / RI</v>
      </c>
      <c r="B23" s="20">
        <f>IFERROR(B21/B22,0)</f>
        <v>0.007436753395397185</v>
      </c>
    </row>
    <row r="24">
      <c r="A24" s="18" t="str">
        <v>¿Consistente? (CR &lt; 0.10)</v>
      </c>
      <c r="B24" s="18" t="str">
        <f>IF(B23&lt;0.1,"Sí, consistente","No, revisar juicios")</f>
        <v>Sí, consistente</v>
      </c>
    </row>
    <row r="26">
      <c r="A26" s="15" t="str">
        <v>Juicios individuales de los 3 expertos (entrada de GEOMEAN() de arriba)</v>
      </c>
    </row>
    <row r="28">
      <c r="A28" s="22" t="str">
        <v>Experto 1: Ingeniero/investigador en Machine Learning o voz (ASR)</v>
      </c>
    </row>
    <row r="29">
      <c r="B29" s="10" t="str">
        <v>Fine-tuning supervisado</v>
      </c>
      <c r="C29" s="10" t="str">
        <v>Transfer learning cross-lingual</v>
      </c>
      <c r="D29" s="10" t="str">
        <v>Aprendizaje autosupervisado</v>
      </c>
      <c r="E29" s="10" t="str">
        <v>Data augmentation</v>
      </c>
    </row>
    <row r="30">
      <c r="A30" s="8" t="str">
        <v>Fine-tuning supervisado</v>
      </c>
      <c r="B30" s="23">
        <v>1</v>
      </c>
      <c r="C30" s="23">
        <v>0.3333333333333333</v>
      </c>
      <c r="D30" s="23">
        <v>0.3333333333333333</v>
      </c>
      <c r="E30" s="23">
        <v>0.5</v>
      </c>
    </row>
    <row r="31">
      <c r="A31" s="8" t="str">
        <v>Transfer learning cross-lingual</v>
      </c>
      <c r="B31" s="23">
        <f>1/C30</f>
        <v>3</v>
      </c>
      <c r="C31" s="23">
        <v>1</v>
      </c>
      <c r="D31" s="23">
        <v>1</v>
      </c>
      <c r="E31" s="23">
        <v>1</v>
      </c>
    </row>
    <row r="32">
      <c r="A32" s="8" t="str">
        <v>Aprendizaje autosupervisado</v>
      </c>
      <c r="B32" s="23">
        <f>1/D30</f>
        <v>3</v>
      </c>
      <c r="C32" s="23">
        <f>1/D31</f>
        <v>1</v>
      </c>
      <c r="D32" s="23">
        <v>1</v>
      </c>
      <c r="E32" s="23">
        <v>2</v>
      </c>
    </row>
    <row r="33">
      <c r="A33" s="8" t="str">
        <v>Data augmentation</v>
      </c>
      <c r="B33" s="23">
        <f>1/E30</f>
        <v>2</v>
      </c>
      <c r="C33" s="23">
        <f>1/E31</f>
        <v>1</v>
      </c>
      <c r="D33" s="23">
        <f>1/E32</f>
        <v>0.5</v>
      </c>
      <c r="E33" s="23">
        <v>1</v>
      </c>
    </row>
    <row r="35">
      <c r="A35" s="22" t="str">
        <v>Experto 2: Ingeniero electrónico, procesamiento de señales</v>
      </c>
    </row>
    <row r="36">
      <c r="B36" s="10" t="str">
        <v>Fine-tuning supervisado</v>
      </c>
      <c r="C36" s="10" t="str">
        <v>Transfer learning cross-lingual</v>
      </c>
      <c r="D36" s="10" t="str">
        <v>Aprendizaje autosupervisado</v>
      </c>
      <c r="E36" s="10" t="str">
        <v>Data augmentation</v>
      </c>
    </row>
    <row r="37">
      <c r="A37" s="8" t="str">
        <v>Fine-tuning supervisado</v>
      </c>
      <c r="B37" s="23">
        <v>1</v>
      </c>
      <c r="C37" s="23">
        <v>0.5</v>
      </c>
      <c r="D37" s="23">
        <v>0.25</v>
      </c>
      <c r="E37" s="23">
        <v>1</v>
      </c>
    </row>
    <row r="38">
      <c r="A38" s="8" t="str">
        <v>Transfer learning cross-lingual</v>
      </c>
      <c r="B38" s="23">
        <f>1/C37</f>
        <v>2</v>
      </c>
      <c r="C38" s="23">
        <v>1</v>
      </c>
      <c r="D38" s="23">
        <v>1</v>
      </c>
      <c r="E38" s="23">
        <v>1</v>
      </c>
    </row>
    <row r="39">
      <c r="A39" s="8" t="str">
        <v>Aprendizaje autosupervisado</v>
      </c>
      <c r="B39" s="23">
        <f>1/D37</f>
        <v>4</v>
      </c>
      <c r="C39" s="23">
        <f>1/D38</f>
        <v>1</v>
      </c>
      <c r="D39" s="23">
        <v>1</v>
      </c>
      <c r="E39" s="23">
        <v>2</v>
      </c>
    </row>
    <row r="40">
      <c r="A40" s="8" t="str">
        <v>Data augmentation</v>
      </c>
      <c r="B40" s="23">
        <f>1/E37</f>
        <v>1</v>
      </c>
      <c r="C40" s="23">
        <f>1/E38</f>
        <v>1</v>
      </c>
      <c r="D40" s="23">
        <f>1/E39</f>
        <v>0.5</v>
      </c>
      <c r="E40" s="23">
        <v>1</v>
      </c>
    </row>
    <row r="42">
      <c r="A42" s="22" t="str">
        <v>Experto 3: Hablante nativo colaborador</v>
      </c>
    </row>
    <row r="43">
      <c r="B43" s="10" t="str">
        <v>Fine-tuning supervisado</v>
      </c>
      <c r="C43" s="10" t="str">
        <v>Transfer learning cross-lingual</v>
      </c>
      <c r="D43" s="10" t="str">
        <v>Aprendizaje autosupervisado</v>
      </c>
      <c r="E43" s="10" t="str">
        <v>Data augmentation</v>
      </c>
    </row>
    <row r="44">
      <c r="A44" s="8" t="str">
        <v>Fine-tuning supervisado</v>
      </c>
      <c r="B44" s="23">
        <v>1</v>
      </c>
      <c r="C44" s="23">
        <v>0.5</v>
      </c>
      <c r="D44" s="23">
        <v>0.5</v>
      </c>
      <c r="E44" s="23">
        <v>0.3333333333333333</v>
      </c>
    </row>
    <row r="45">
      <c r="A45" s="8" t="str">
        <v>Transfer learning cross-lingual</v>
      </c>
      <c r="B45" s="23">
        <f>1/C44</f>
        <v>2</v>
      </c>
      <c r="C45" s="23">
        <v>1</v>
      </c>
      <c r="D45" s="23">
        <v>1</v>
      </c>
      <c r="E45" s="23">
        <v>2</v>
      </c>
    </row>
    <row r="46">
      <c r="A46" s="8" t="str">
        <v>Aprendizaje autosupervisado</v>
      </c>
      <c r="B46" s="23">
        <f>1/D44</f>
        <v>2</v>
      </c>
      <c r="C46" s="23">
        <f>1/D45</f>
        <v>1</v>
      </c>
      <c r="D46" s="23">
        <v>1</v>
      </c>
      <c r="E46" s="23">
        <v>2</v>
      </c>
    </row>
    <row r="47">
      <c r="A47" s="8" t="str">
        <v>Data augmentation</v>
      </c>
      <c r="B47" s="23">
        <f>1/E44</f>
        <v>3</v>
      </c>
      <c r="C47" s="23">
        <f>1/E45</f>
        <v>0.5</v>
      </c>
      <c r="D47" s="23">
        <f>1/E46</f>
        <v>0.5</v>
      </c>
      <c r="E47" s="23">
        <v>1</v>
      </c>
    </row>
  </sheetData>
  <mergeCells count="1">
    <mergeCell ref="B1:E1"/>
  </mergeCells>
  <ignoredErrors>
    <ignoredError numberStoredAsText="1" sqref="A1:F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34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</cols>
  <sheetData>
    <row r="1" ht="30" customHeight="1">
      <c r="A1" s="3" t="str">
        <v>AHP, Métricas WER/CER</v>
      </c>
      <c r="B1" s="6" t="str">
        <v>Media geométrica de los expertos. Prefiere la que alcanza el MENOR error (WER/CER) según lo reportado para lenguas de pocos recursos.</v>
      </c>
    </row>
    <row r="2">
      <c r="B2" s="10" t="str">
        <v>Fine-tuning supervisado</v>
      </c>
      <c r="C2" s="10" t="str">
        <v>Transfer learning cross-lingual</v>
      </c>
      <c r="D2" s="10" t="str">
        <v>Aprendizaje autosupervisado</v>
      </c>
      <c r="E2" s="10" t="str">
        <v>Data augmentation</v>
      </c>
    </row>
    <row r="3">
      <c r="A3" s="8" t="str">
        <v>Fine-tuning supervisado</v>
      </c>
      <c r="B3" s="17">
        <v>1</v>
      </c>
      <c r="C3" s="17">
        <f>GEOMEAN(C30,C37,C44)</f>
        <v>0.7937005259840998</v>
      </c>
      <c r="D3" s="17">
        <f>GEOMEAN(D30,D37,D44)</f>
        <v>0.4367902323681494</v>
      </c>
      <c r="E3" s="17">
        <f>GEOMEAN(E30,E37,E44)</f>
        <v>1</v>
      </c>
    </row>
    <row r="4">
      <c r="A4" s="8" t="str">
        <v>Transfer learning cross-lingual</v>
      </c>
      <c r="B4" s="17">
        <f>1/C3</f>
        <v>1.259921049894873</v>
      </c>
      <c r="C4" s="17">
        <v>1</v>
      </c>
      <c r="D4" s="17">
        <f>GEOMEAN(D31,D38,D45)</f>
        <v>1</v>
      </c>
      <c r="E4" s="17">
        <f>GEOMEAN(E31,E38,E45)</f>
        <v>1.5874010519681994</v>
      </c>
    </row>
    <row r="5">
      <c r="A5" s="8" t="str">
        <v>Aprendizaje autosupervisado</v>
      </c>
      <c r="B5" s="17">
        <f>1/D3</f>
        <v>2.2894284851066637</v>
      </c>
      <c r="C5" s="17">
        <f>1/D4</f>
        <v>1</v>
      </c>
      <c r="D5" s="17">
        <v>1</v>
      </c>
      <c r="E5" s="17">
        <f>GEOMEAN(E32,E39,E46)</f>
        <v>2.6207413942088964</v>
      </c>
    </row>
    <row r="6">
      <c r="A6" s="8" t="str">
        <v>Data augmentation</v>
      </c>
      <c r="B6" s="17">
        <f>1/E3</f>
        <v>1</v>
      </c>
      <c r="C6" s="17">
        <f>1/E4</f>
        <v>0.6299605249474366</v>
      </c>
      <c r="D6" s="17">
        <f>1/E5</f>
        <v>0.381571414184444</v>
      </c>
      <c r="E6" s="17">
        <v>1</v>
      </c>
    </row>
    <row r="7">
      <c r="A7" s="18" t="str">
        <v>Suma</v>
      </c>
      <c r="B7" s="18">
        <f>SUM(B3:B6)</f>
        <v>5.549349535001537</v>
      </c>
      <c r="C7" s="18">
        <f>SUM(C3:C6)</f>
        <v>3.4236610509315364</v>
      </c>
      <c r="D7" s="18">
        <f>SUM(D3:D6)</f>
        <v>2.8183616465525936</v>
      </c>
      <c r="E7" s="18">
        <f>SUM(E3:E6)</f>
        <v>6.208142446177096</v>
      </c>
    </row>
    <row r="9">
      <c r="A9" s="18" t="str">
        <v>Normalizada</v>
      </c>
      <c r="F9" s="18" t="str">
        <v>Vector prioridad</v>
      </c>
    </row>
    <row r="10">
      <c r="A10" s="2" t="str">
        <v>Fine-tuning supervisado</v>
      </c>
      <c r="B10" s="19">
        <f>B3/B$7</f>
        <v>0.18020129993482617</v>
      </c>
      <c r="C10" s="19">
        <f>C3/C$7</f>
        <v>0.2318280093083816</v>
      </c>
      <c r="D10" s="19">
        <f>D3/D$7</f>
        <v>0.15498019315669764</v>
      </c>
      <c r="E10" s="19">
        <f>E3/E$7</f>
        <v>0.1610787781803861</v>
      </c>
      <c r="F10" s="20">
        <f>AVERAGE(B10:E10)</f>
        <v>0.18202207014507288</v>
      </c>
    </row>
    <row r="11">
      <c r="A11" s="2" t="str">
        <v>Transfer learning cross-lingual</v>
      </c>
      <c r="B11" s="19">
        <f>B4/B$7</f>
        <v>0.2270394110063071</v>
      </c>
      <c r="C11" s="19">
        <f>C4/C$7</f>
        <v>0.29208498888285456</v>
      </c>
      <c r="D11" s="19">
        <f>D4/D$7</f>
        <v>0.3548160688402765</v>
      </c>
      <c r="E11" s="19">
        <f>E4/E$7</f>
        <v>0.2556966219332971</v>
      </c>
      <c r="F11" s="20">
        <f>AVERAGE(B11:E11)</f>
        <v>0.28240927266568383</v>
      </c>
    </row>
    <row r="12">
      <c r="A12" s="2" t="str">
        <v>Aprendizaje autosupervisado</v>
      </c>
      <c r="B12" s="19">
        <f>B5/B$7</f>
        <v>0.4125579891240406</v>
      </c>
      <c r="C12" s="19">
        <f>C5/C$7</f>
        <v>0.29208498888285456</v>
      </c>
      <c r="D12" s="19">
        <f>D5/D$7</f>
        <v>0.3548160688402765</v>
      </c>
      <c r="E12" s="19">
        <f>E5/E$7</f>
        <v>0.4221458217059306</v>
      </c>
      <c r="F12" s="20">
        <f>AVERAGE(B12:E12)</f>
        <v>0.3704012171382756</v>
      </c>
    </row>
    <row r="13">
      <c r="A13" s="2" t="str">
        <v>Data augmentation</v>
      </c>
      <c r="B13" s="19">
        <f>B6/B$7</f>
        <v>0.18020129993482617</v>
      </c>
      <c r="C13" s="19">
        <f>C6/C$7</f>
        <v>0.18400201292590926</v>
      </c>
      <c r="D13" s="19">
        <f>D6/D$7</f>
        <v>0.13538766916274933</v>
      </c>
      <c r="E13" s="19">
        <f>E6/E$7</f>
        <v>0.1610787781803861</v>
      </c>
      <c r="F13" s="20">
        <f>AVERAGE(B13:E13)</f>
        <v>0.1651674400509677</v>
      </c>
    </row>
    <row r="15">
      <c r="A15" s="15" t="str">
        <v>Verificación de consistencia</v>
      </c>
    </row>
    <row r="16">
      <c r="A16" s="2" t="str">
        <v>A·w (Fine-tuning supervisado)</v>
      </c>
      <c r="B16" s="19">
        <f>B3*$F$10 + C3*$F$11 + D3*$F$12 + E3*$F$13</f>
        <v>0.7331255321568537</v>
      </c>
      <c r="C16" s="19">
        <f>B16/F10</f>
        <v>4.027673850608047</v>
      </c>
      <c r="D16" s="2" t="str">
        <v>lambda parcial</v>
      </c>
    </row>
    <row r="17">
      <c r="A17" s="2" t="str">
        <v>A·w (Transfer learning cross-lingual)</v>
      </c>
      <c r="B17" s="19">
        <f>B4*$F$10 + C4*$F$11 + D4*$F$12 + E4*$F$13</f>
        <v>1.1443308956129785</v>
      </c>
      <c r="C17" s="19">
        <f>B17/F11</f>
        <v>4.05203017879529</v>
      </c>
      <c r="D17" s="2" t="str">
        <v>lambda parcial</v>
      </c>
    </row>
    <row r="18">
      <c r="A18" s="2" t="str">
        <v>A·w (Aprendizaje autosupervisado)</v>
      </c>
      <c r="B18" s="19">
        <f>B5*$F$10 + C5*$F$11 + D5*$F$12 + E5*$F$13</f>
        <v>1.5023981492292597</v>
      </c>
      <c r="C18" s="19">
        <f>B18/F12</f>
        <v>4.056137182368909</v>
      </c>
      <c r="D18" s="2" t="str">
        <v>lambda parcial</v>
      </c>
    </row>
    <row r="19">
      <c r="A19" s="2" t="str">
        <v>A·w (Data augmentation)</v>
      </c>
      <c r="B19" s="19">
        <f>B6*$F$10 + C6*$F$11 + D6*$F$12 + E6*$F$13</f>
        <v>0.6664307200936297</v>
      </c>
      <c r="C19" s="19">
        <f>B19/F13</f>
        <v>4.03487951310489</v>
      </c>
      <c r="D19" s="2" t="str">
        <v>lambda parcial</v>
      </c>
    </row>
    <row r="20">
      <c r="A20" s="2" t="str">
        <v>lambda_max</v>
      </c>
      <c r="B20" s="19">
        <f>AVERAGE(C16:C19)</f>
        <v>4.042680181219284</v>
      </c>
    </row>
    <row r="21">
      <c r="A21" s="2" t="str">
        <v>CI = (lambda_max - n) / (n - 1)</v>
      </c>
      <c r="B21" s="19">
        <f>(B20-4)/(4-1)</f>
        <v>0.014226727073094617</v>
      </c>
    </row>
    <row r="22">
      <c r="A22" s="2" t="str">
        <v>RI (tabla Saaty, n=4)</v>
      </c>
      <c r="B22" s="21">
        <v>0.9</v>
      </c>
    </row>
    <row r="23">
      <c r="A23" s="18" t="str">
        <v>CR = CI / RI</v>
      </c>
      <c r="B23" s="20">
        <f>IFERROR(B21/B22,0)</f>
        <v>0.015807474525660684</v>
      </c>
    </row>
    <row r="24">
      <c r="A24" s="18" t="str">
        <v>¿Consistente? (CR &lt; 0.10)</v>
      </c>
      <c r="B24" s="18" t="str">
        <f>IF(B23&lt;0.1,"Sí, consistente","No, revisar juicios")</f>
        <v>Sí, consistente</v>
      </c>
    </row>
    <row r="26">
      <c r="A26" s="15" t="str">
        <v>Juicios individuales de los 3 expertos (entrada de GEOMEAN() de arriba)</v>
      </c>
    </row>
    <row r="28">
      <c r="A28" s="22" t="str">
        <v>Experto 1: Ingeniero/investigador en Machine Learning o voz (ASR)</v>
      </c>
    </row>
    <row r="29">
      <c r="B29" s="10" t="str">
        <v>Fine-tuning supervisado</v>
      </c>
      <c r="C29" s="10" t="str">
        <v>Transfer learning cross-lingual</v>
      </c>
      <c r="D29" s="10" t="str">
        <v>Aprendizaje autosupervisado</v>
      </c>
      <c r="E29" s="10" t="str">
        <v>Data augmentation</v>
      </c>
    </row>
    <row r="30">
      <c r="A30" s="8" t="str">
        <v>Fine-tuning supervisado</v>
      </c>
      <c r="B30" s="23">
        <v>1</v>
      </c>
      <c r="C30" s="23">
        <v>0.5</v>
      </c>
      <c r="D30" s="23">
        <v>0.5</v>
      </c>
      <c r="E30" s="23">
        <v>1</v>
      </c>
    </row>
    <row r="31">
      <c r="A31" s="8" t="str">
        <v>Transfer learning cross-lingual</v>
      </c>
      <c r="B31" s="23">
        <f>1/C30</f>
        <v>2</v>
      </c>
      <c r="C31" s="23">
        <v>1</v>
      </c>
      <c r="D31" s="23">
        <v>1</v>
      </c>
      <c r="E31" s="23">
        <v>2</v>
      </c>
    </row>
    <row r="32">
      <c r="A32" s="8" t="str">
        <v>Aprendizaje autosupervisado</v>
      </c>
      <c r="B32" s="23">
        <f>1/D30</f>
        <v>2</v>
      </c>
      <c r="C32" s="23">
        <f>1/D31</f>
        <v>1</v>
      </c>
      <c r="D32" s="23">
        <v>1</v>
      </c>
      <c r="E32" s="23">
        <v>2</v>
      </c>
    </row>
    <row r="33">
      <c r="A33" s="8" t="str">
        <v>Data augmentation</v>
      </c>
      <c r="B33" s="23">
        <f>1/E30</f>
        <v>1</v>
      </c>
      <c r="C33" s="23">
        <f>1/E31</f>
        <v>0.5</v>
      </c>
      <c r="D33" s="23">
        <f>1/E32</f>
        <v>0.5</v>
      </c>
      <c r="E33" s="23">
        <v>1</v>
      </c>
    </row>
    <row r="35">
      <c r="A35" s="22" t="str">
        <v>Experto 2: Ingeniero electrónico, procesamiento de señales</v>
      </c>
    </row>
    <row r="36">
      <c r="B36" s="10" t="str">
        <v>Fine-tuning supervisado</v>
      </c>
      <c r="C36" s="10" t="str">
        <v>Transfer learning cross-lingual</v>
      </c>
      <c r="D36" s="10" t="str">
        <v>Aprendizaje autosupervisado</v>
      </c>
      <c r="E36" s="10" t="str">
        <v>Data augmentation</v>
      </c>
    </row>
    <row r="37">
      <c r="A37" s="8" t="str">
        <v>Fine-tuning supervisado</v>
      </c>
      <c r="B37" s="23">
        <v>1</v>
      </c>
      <c r="C37" s="23">
        <v>1</v>
      </c>
      <c r="D37" s="23">
        <v>0.3333333333333333</v>
      </c>
      <c r="E37" s="23">
        <v>1</v>
      </c>
    </row>
    <row r="38">
      <c r="A38" s="8" t="str">
        <v>Transfer learning cross-lingual</v>
      </c>
      <c r="B38" s="23">
        <f>1/C37</f>
        <v>1</v>
      </c>
      <c r="C38" s="23">
        <v>1</v>
      </c>
      <c r="D38" s="23">
        <v>1</v>
      </c>
      <c r="E38" s="23">
        <v>1</v>
      </c>
    </row>
    <row r="39">
      <c r="A39" s="8" t="str">
        <v>Aprendizaje autosupervisado</v>
      </c>
      <c r="B39" s="23">
        <f>1/D37</f>
        <v>3</v>
      </c>
      <c r="C39" s="23">
        <f>1/D38</f>
        <v>1</v>
      </c>
      <c r="D39" s="23">
        <v>1</v>
      </c>
      <c r="E39" s="23">
        <v>3</v>
      </c>
    </row>
    <row r="40">
      <c r="A40" s="8" t="str">
        <v>Data augmentation</v>
      </c>
      <c r="B40" s="23">
        <f>1/E37</f>
        <v>1</v>
      </c>
      <c r="C40" s="23">
        <f>1/E38</f>
        <v>1</v>
      </c>
      <c r="D40" s="23">
        <f>1/E39</f>
        <v>0.3333333333333333</v>
      </c>
      <c r="E40" s="23">
        <v>1</v>
      </c>
    </row>
    <row r="42">
      <c r="A42" s="22" t="str">
        <v>Experto 3: Hablante nativo colaborador</v>
      </c>
    </row>
    <row r="43">
      <c r="B43" s="10" t="str">
        <v>Fine-tuning supervisado</v>
      </c>
      <c r="C43" s="10" t="str">
        <v>Transfer learning cross-lingual</v>
      </c>
      <c r="D43" s="10" t="str">
        <v>Aprendizaje autosupervisado</v>
      </c>
      <c r="E43" s="10" t="str">
        <v>Data augmentation</v>
      </c>
    </row>
    <row r="44">
      <c r="A44" s="8" t="str">
        <v>Fine-tuning supervisado</v>
      </c>
      <c r="B44" s="23">
        <v>1</v>
      </c>
      <c r="C44" s="23">
        <v>1</v>
      </c>
      <c r="D44" s="23">
        <v>0.5</v>
      </c>
      <c r="E44" s="23">
        <v>1</v>
      </c>
    </row>
    <row r="45">
      <c r="A45" s="8" t="str">
        <v>Transfer learning cross-lingual</v>
      </c>
      <c r="B45" s="23">
        <f>1/C44</f>
        <v>1</v>
      </c>
      <c r="C45" s="23">
        <v>1</v>
      </c>
      <c r="D45" s="23">
        <v>1</v>
      </c>
      <c r="E45" s="23">
        <v>2</v>
      </c>
    </row>
    <row r="46">
      <c r="A46" s="8" t="str">
        <v>Aprendizaje autosupervisado</v>
      </c>
      <c r="B46" s="23">
        <f>1/D44</f>
        <v>2</v>
      </c>
      <c r="C46" s="23">
        <f>1/D45</f>
        <v>1</v>
      </c>
      <c r="D46" s="23">
        <v>1</v>
      </c>
      <c r="E46" s="23">
        <v>3</v>
      </c>
    </row>
    <row r="47">
      <c r="A47" s="8" t="str">
        <v>Data augmentation</v>
      </c>
      <c r="B47" s="23">
        <f>1/E44</f>
        <v>1</v>
      </c>
      <c r="C47" s="23">
        <f>1/E45</f>
        <v>0.5</v>
      </c>
      <c r="D47" s="23">
        <f>1/E46</f>
        <v>0.3333333333333333</v>
      </c>
      <c r="E47" s="23">
        <v>1</v>
      </c>
    </row>
  </sheetData>
  <mergeCells count="1">
    <mergeCell ref="B1:E1"/>
  </mergeCells>
  <ignoredErrors>
    <ignoredError numberStoredAsText="1" sqref="A1:F4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34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</cols>
  <sheetData>
    <row r="1" ht="30" customHeight="1">
      <c r="A1" s="3" t="str">
        <v>AHP, Madurez y soporte de herramientas</v>
      </c>
      <c r="B1" s="6" t="str">
        <v>Media geométrica de los expertos. Prefiere la que tiene implementaciones más estables y documentadas (Whisper, wav2vec 2.0, MMS).</v>
      </c>
    </row>
    <row r="2">
      <c r="B2" s="10" t="str">
        <v>Fine-tuning supervisado</v>
      </c>
      <c r="C2" s="10" t="str">
        <v>Transfer learning cross-lingual</v>
      </c>
      <c r="D2" s="10" t="str">
        <v>Aprendizaje autosupervisado</v>
      </c>
      <c r="E2" s="10" t="str">
        <v>Data augmentation</v>
      </c>
    </row>
    <row r="3">
      <c r="A3" s="8" t="str">
        <v>Fine-tuning supervisado</v>
      </c>
      <c r="B3" s="17">
        <v>1</v>
      </c>
      <c r="C3" s="17">
        <f>GEOMEAN(C30,C37,C44)</f>
        <v>1.5874010519681994</v>
      </c>
      <c r="D3" s="17">
        <f>GEOMEAN(D30,D37,D44)</f>
        <v>1.5874010519681994</v>
      </c>
      <c r="E3" s="17">
        <f>GEOMEAN(E30,E37,E44)</f>
        <v>1.2599210498948732</v>
      </c>
    </row>
    <row r="4">
      <c r="A4" s="8" t="str">
        <v>Transfer learning cross-lingual</v>
      </c>
      <c r="B4" s="17">
        <f>1/C3</f>
        <v>0.6299605249474366</v>
      </c>
      <c r="C4" s="17">
        <v>1</v>
      </c>
      <c r="D4" s="17">
        <f>GEOMEAN(D31,D38,D45)</f>
        <v>1.5874010519681994</v>
      </c>
      <c r="E4" s="17">
        <f>GEOMEAN(E31,E38,E45)</f>
        <v>1</v>
      </c>
    </row>
    <row r="5">
      <c r="A5" s="8" t="str">
        <v>Aprendizaje autosupervisado</v>
      </c>
      <c r="B5" s="17">
        <f>1/D3</f>
        <v>0.6299605249474366</v>
      </c>
      <c r="C5" s="17">
        <f>1/D4</f>
        <v>0.6299605249474366</v>
      </c>
      <c r="D5" s="17">
        <v>1</v>
      </c>
      <c r="E5" s="17">
        <f>GEOMEAN(E32,E39,E46)</f>
        <v>1</v>
      </c>
    </row>
    <row r="6">
      <c r="A6" s="8" t="str">
        <v>Data augmentation</v>
      </c>
      <c r="B6" s="17">
        <f>1/E3</f>
        <v>0.7937005259840997</v>
      </c>
      <c r="C6" s="17">
        <f>1/E4</f>
        <v>1</v>
      </c>
      <c r="D6" s="17">
        <f>1/E5</f>
        <v>1</v>
      </c>
      <c r="E6" s="17">
        <v>1</v>
      </c>
    </row>
    <row r="7">
      <c r="A7" s="18" t="str">
        <v>Suma</v>
      </c>
      <c r="B7" s="18">
        <f>SUM(B3:B6)</f>
        <v>3.053621575878973</v>
      </c>
      <c r="C7" s="18">
        <f>SUM(C3:C6)</f>
        <v>4.217361576915636</v>
      </c>
      <c r="D7" s="18">
        <f>SUM(D3:D6)</f>
        <v>5.174802103936399</v>
      </c>
      <c r="E7" s="18">
        <f>SUM(E3:E6)</f>
        <v>4.259921049894873</v>
      </c>
    </row>
    <row r="9">
      <c r="A9" s="18" t="str">
        <v>Normalizada</v>
      </c>
      <c r="F9" s="18" t="str">
        <v>Vector prioridad</v>
      </c>
    </row>
    <row r="10">
      <c r="A10" s="2" t="str">
        <v>Fine-tuning supervisado</v>
      </c>
      <c r="B10" s="19">
        <f>B3/B$7</f>
        <v>0.3274800020733263</v>
      </c>
      <c r="C10" s="19">
        <f>C3/C$7</f>
        <v>0.3763967170036068</v>
      </c>
      <c r="D10" s="19">
        <f>D3/D$7</f>
        <v>0.3067558952178453</v>
      </c>
      <c r="E10" s="19">
        <f>E3/E$7</f>
        <v>0.2957615963154917</v>
      </c>
      <c r="F10" s="20">
        <f>AVERAGE(B10:E10)</f>
        <v>0.32659855265256754</v>
      </c>
    </row>
    <row r="11">
      <c r="A11" s="2" t="str">
        <v>Transfer learning cross-lingual</v>
      </c>
      <c r="B11" s="19">
        <f>B4/B$7</f>
        <v>0.20629947401590026</v>
      </c>
      <c r="C11" s="19">
        <f>C4/C$7</f>
        <v>0.23711507343208388</v>
      </c>
      <c r="D11" s="19">
        <f>D4/D$7</f>
        <v>0.3067558952178453</v>
      </c>
      <c r="E11" s="19">
        <f>E4/E$7</f>
        <v>0.23474613456150276</v>
      </c>
      <c r="F11" s="20">
        <f>AVERAGE(B11:E11)</f>
        <v>0.24622914430683304</v>
      </c>
    </row>
    <row r="12">
      <c r="A12" s="2" t="str">
        <v>Aprendizaje autosupervisado</v>
      </c>
      <c r="B12" s="19">
        <f>B5/B$7</f>
        <v>0.20629947401590026</v>
      </c>
      <c r="C12" s="19">
        <f>C5/C$7</f>
        <v>0.14937313613222553</v>
      </c>
      <c r="D12" s="19">
        <f>D5/D$7</f>
        <v>0.1932441047821547</v>
      </c>
      <c r="E12" s="19">
        <f>E5/E$7</f>
        <v>0.23474613456150276</v>
      </c>
      <c r="F12" s="20">
        <f>AVERAGE(B12:E12)</f>
        <v>0.1959157123729458</v>
      </c>
    </row>
    <row r="13">
      <c r="A13" s="2" t="str">
        <v>Data augmentation</v>
      </c>
      <c r="B13" s="19">
        <f>B6/B$7</f>
        <v>0.25992104989487314</v>
      </c>
      <c r="C13" s="19">
        <f>C6/C$7</f>
        <v>0.23711507343208388</v>
      </c>
      <c r="D13" s="19">
        <f>D6/D$7</f>
        <v>0.1932441047821547</v>
      </c>
      <c r="E13" s="19">
        <f>E6/E$7</f>
        <v>0.23474613456150276</v>
      </c>
      <c r="F13" s="20">
        <f>AVERAGE(B13:E13)</f>
        <v>0.2312565906676536</v>
      </c>
    </row>
    <row r="15">
      <c r="A15" s="15" t="str">
        <v>Verificación de consistencia</v>
      </c>
    </row>
    <row r="16">
      <c r="A16" s="2" t="str">
        <v>A·w (Fine-tuning supervisado)</v>
      </c>
      <c r="B16" s="19">
        <f>B3*$F$10 + C3*$F$11 + D3*$F$12 + E3*$F$13</f>
        <v>1.3198248097774763</v>
      </c>
      <c r="C16" s="19">
        <f>B16/F10</f>
        <v>4.0411226536618905</v>
      </c>
      <c r="D16" s="2" t="str">
        <v>lambda parcial</v>
      </c>
    </row>
    <row r="17">
      <c r="A17" s="2" t="str">
        <v>A·w (Transfer learning cross-lingual)</v>
      </c>
      <c r="B17" s="19">
        <f>B4*$F$10 + C4*$F$11 + D4*$F$12 + E4*$F$13</f>
        <v>0.9942267385684844</v>
      </c>
      <c r="C17" s="19">
        <f>B17/F11</f>
        <v>4.037810964121902</v>
      </c>
      <c r="D17" s="2" t="str">
        <v>lambda parcial</v>
      </c>
    </row>
    <row r="18">
      <c r="A18" s="2" t="str">
        <v>A·w (Aprendizaje autosupervisado)</v>
      </c>
      <c r="B18" s="19">
        <f>B5*$F$10 + C5*$F$11 + D5*$F$12 + E5*$F$13</f>
        <v>0.7880311397215745</v>
      </c>
      <c r="C18" s="19">
        <f>B18/F12</f>
        <v>4.022296783534522</v>
      </c>
      <c r="D18" s="2" t="str">
        <v>lambda parcial</v>
      </c>
    </row>
    <row r="19">
      <c r="A19" s="2" t="str">
        <v>A·w (Data augmentation)</v>
      </c>
      <c r="B19" s="19">
        <f>B6*$F$10 + C6*$F$11 + D6*$F$12 + E6*$F$13</f>
        <v>0.9326228903734209</v>
      </c>
      <c r="C19" s="19">
        <f>B19/F13</f>
        <v>4.032848913325561</v>
      </c>
      <c r="D19" s="2" t="str">
        <v>lambda parcial</v>
      </c>
    </row>
    <row r="20">
      <c r="A20" s="2" t="str">
        <v>lambda_max</v>
      </c>
      <c r="B20" s="19">
        <f>AVERAGE(C16:C19)</f>
        <v>4.033519828660969</v>
      </c>
    </row>
    <row r="21">
      <c r="A21" s="2" t="str">
        <v>CI = (lambda_max - n) / (n - 1)</v>
      </c>
      <c r="B21" s="19">
        <f>(B20-4)/(4-1)</f>
        <v>0.011173276220323084</v>
      </c>
    </row>
    <row r="22">
      <c r="A22" s="2" t="str">
        <v>RI (tabla Saaty, n=4)</v>
      </c>
      <c r="B22" s="21">
        <v>0.9</v>
      </c>
    </row>
    <row r="23">
      <c r="A23" s="18" t="str">
        <v>CR = CI / RI</v>
      </c>
      <c r="B23" s="20">
        <f>IFERROR(B21/B22,0)</f>
        <v>0.012414751355914537</v>
      </c>
    </row>
    <row r="24">
      <c r="A24" s="18" t="str">
        <v>¿Consistente? (CR &lt; 0.10)</v>
      </c>
      <c r="B24" s="18" t="str">
        <f>IF(B23&lt;0.1,"Sí, consistente","No, revisar juicios")</f>
        <v>Sí, consistente</v>
      </c>
    </row>
    <row r="26">
      <c r="A26" s="15" t="str">
        <v>Juicios individuales de los 3 expertos (entrada de GEOMEAN() de arriba)</v>
      </c>
    </row>
    <row r="28">
      <c r="A28" s="22" t="str">
        <v>Experto 1: Ingeniero/investigador en Machine Learning o voz (ASR)</v>
      </c>
    </row>
    <row r="29">
      <c r="B29" s="10" t="str">
        <v>Fine-tuning supervisado</v>
      </c>
      <c r="C29" s="10" t="str">
        <v>Transfer learning cross-lingual</v>
      </c>
      <c r="D29" s="10" t="str">
        <v>Aprendizaje autosupervisado</v>
      </c>
      <c r="E29" s="10" t="str">
        <v>Data augmentation</v>
      </c>
    </row>
    <row r="30">
      <c r="A30" s="8" t="str">
        <v>Fine-tuning supervisado</v>
      </c>
      <c r="B30" s="23">
        <v>1</v>
      </c>
      <c r="C30" s="23">
        <v>1</v>
      </c>
      <c r="D30" s="23">
        <v>2</v>
      </c>
      <c r="E30" s="23">
        <v>1</v>
      </c>
    </row>
    <row r="31">
      <c r="A31" s="8" t="str">
        <v>Transfer learning cross-lingual</v>
      </c>
      <c r="B31" s="23">
        <f>1/C30</f>
        <v>1</v>
      </c>
      <c r="C31" s="23">
        <v>1</v>
      </c>
      <c r="D31" s="23">
        <v>1</v>
      </c>
      <c r="E31" s="23">
        <v>1</v>
      </c>
    </row>
    <row r="32">
      <c r="A32" s="8" t="str">
        <v>Aprendizaje autosupervisado</v>
      </c>
      <c r="B32" s="23">
        <f>1/D30</f>
        <v>0.5</v>
      </c>
      <c r="C32" s="23">
        <f>1/D31</f>
        <v>1</v>
      </c>
      <c r="D32" s="23">
        <v>1</v>
      </c>
      <c r="E32" s="23">
        <v>1</v>
      </c>
    </row>
    <row r="33">
      <c r="A33" s="8" t="str">
        <v>Data augmentation</v>
      </c>
      <c r="B33" s="23">
        <f>1/E30</f>
        <v>1</v>
      </c>
      <c r="C33" s="23">
        <f>1/E31</f>
        <v>1</v>
      </c>
      <c r="D33" s="23">
        <f>1/E32</f>
        <v>1</v>
      </c>
      <c r="E33" s="23">
        <v>1</v>
      </c>
    </row>
    <row r="35">
      <c r="A35" s="22" t="str">
        <v>Experto 2: Ingeniero electrónico, procesamiento de señales</v>
      </c>
    </row>
    <row r="36">
      <c r="B36" s="10" t="str">
        <v>Fine-tuning supervisado</v>
      </c>
      <c r="C36" s="10" t="str">
        <v>Transfer learning cross-lingual</v>
      </c>
      <c r="D36" s="10" t="str">
        <v>Aprendizaje autosupervisado</v>
      </c>
      <c r="E36" s="10" t="str">
        <v>Data augmentation</v>
      </c>
    </row>
    <row r="37">
      <c r="A37" s="8" t="str">
        <v>Fine-tuning supervisado</v>
      </c>
      <c r="B37" s="23">
        <v>1</v>
      </c>
      <c r="C37" s="23">
        <v>2</v>
      </c>
      <c r="D37" s="23">
        <v>1</v>
      </c>
      <c r="E37" s="23">
        <v>2</v>
      </c>
    </row>
    <row r="38">
      <c r="A38" s="8" t="str">
        <v>Transfer learning cross-lingual</v>
      </c>
      <c r="B38" s="23">
        <f>1/C37</f>
        <v>0.5</v>
      </c>
      <c r="C38" s="23">
        <v>1</v>
      </c>
      <c r="D38" s="23">
        <v>2</v>
      </c>
      <c r="E38" s="23">
        <v>1</v>
      </c>
    </row>
    <row r="39">
      <c r="A39" s="8" t="str">
        <v>Aprendizaje autosupervisado</v>
      </c>
      <c r="B39" s="23">
        <f>1/D37</f>
        <v>1</v>
      </c>
      <c r="C39" s="23">
        <f>1/D38</f>
        <v>0.5</v>
      </c>
      <c r="D39" s="23">
        <v>1</v>
      </c>
      <c r="E39" s="23">
        <v>1</v>
      </c>
    </row>
    <row r="40">
      <c r="A40" s="8" t="str">
        <v>Data augmentation</v>
      </c>
      <c r="B40" s="23">
        <f>1/E37</f>
        <v>0.5</v>
      </c>
      <c r="C40" s="23">
        <f>1/E38</f>
        <v>1</v>
      </c>
      <c r="D40" s="23">
        <f>1/E39</f>
        <v>1</v>
      </c>
      <c r="E40" s="23">
        <v>1</v>
      </c>
    </row>
    <row r="42">
      <c r="A42" s="22" t="str">
        <v>Experto 3: Hablante nativo colaborador</v>
      </c>
    </row>
    <row r="43">
      <c r="B43" s="10" t="str">
        <v>Fine-tuning supervisado</v>
      </c>
      <c r="C43" s="10" t="str">
        <v>Transfer learning cross-lingual</v>
      </c>
      <c r="D43" s="10" t="str">
        <v>Aprendizaje autosupervisado</v>
      </c>
      <c r="E43" s="10" t="str">
        <v>Data augmentation</v>
      </c>
    </row>
    <row r="44">
      <c r="A44" s="8" t="str">
        <v>Fine-tuning supervisado</v>
      </c>
      <c r="B44" s="23">
        <v>1</v>
      </c>
      <c r="C44" s="23">
        <v>2</v>
      </c>
      <c r="D44" s="23">
        <v>2</v>
      </c>
      <c r="E44" s="23">
        <v>1</v>
      </c>
    </row>
    <row r="45">
      <c r="A45" s="8" t="str">
        <v>Transfer learning cross-lingual</v>
      </c>
      <c r="B45" s="23">
        <f>1/C44</f>
        <v>0.5</v>
      </c>
      <c r="C45" s="23">
        <v>1</v>
      </c>
      <c r="D45" s="23">
        <v>2</v>
      </c>
      <c r="E45" s="23">
        <v>1</v>
      </c>
    </row>
    <row r="46">
      <c r="A46" s="8" t="str">
        <v>Aprendizaje autosupervisado</v>
      </c>
      <c r="B46" s="23">
        <f>1/D44</f>
        <v>0.5</v>
      </c>
      <c r="C46" s="23">
        <f>1/D45</f>
        <v>0.5</v>
      </c>
      <c r="D46" s="23">
        <v>1</v>
      </c>
      <c r="E46" s="23">
        <v>1</v>
      </c>
    </row>
    <row r="47">
      <c r="A47" s="8" t="str">
        <v>Data augmentation</v>
      </c>
      <c r="B47" s="23">
        <f>1/E44</f>
        <v>1</v>
      </c>
      <c r="C47" s="23">
        <f>1/E45</f>
        <v>1</v>
      </c>
      <c r="D47" s="23">
        <f>1/E46</f>
        <v>1</v>
      </c>
      <c r="E47" s="23">
        <v>1</v>
      </c>
    </row>
  </sheetData>
  <mergeCells count="1">
    <mergeCell ref="B1:E1"/>
  </mergeCells>
  <ignoredErrors>
    <ignoredError numberStoredAsText="1" sqref="A1:F4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34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</cols>
  <sheetData>
    <row r="1" ht="30" customHeight="1">
      <c r="A1" s="3" t="str">
        <v>AHP, Dependencia de anotación</v>
      </c>
      <c r="B1" s="6" t="str">
        <v>Media geométrica de los expertos. Prefiere la que exige MENOS transcripción por parte de los hablantes nativos.</v>
      </c>
    </row>
    <row r="2">
      <c r="B2" s="10" t="str">
        <v>Fine-tuning supervisado</v>
      </c>
      <c r="C2" s="10" t="str">
        <v>Transfer learning cross-lingual</v>
      </c>
      <c r="D2" s="10" t="str">
        <v>Aprendizaje autosupervisado</v>
      </c>
      <c r="E2" s="10" t="str">
        <v>Data augmentation</v>
      </c>
    </row>
    <row r="3">
      <c r="A3" s="8" t="str">
        <v>Fine-tuning supervisado</v>
      </c>
      <c r="B3" s="17">
        <v>1</v>
      </c>
      <c r="C3" s="17">
        <f>GEOMEAN(C30,C37,C44)</f>
        <v>0.4367902323681494</v>
      </c>
      <c r="D3" s="17">
        <f>GEOMEAN(D30,D37,D44)</f>
        <v>0.20274006651911336</v>
      </c>
      <c r="E3" s="17">
        <f>GEOMEAN(E30,E37,E44)</f>
        <v>0.3466806371753174</v>
      </c>
    </row>
    <row r="4">
      <c r="A4" s="8" t="str">
        <v>Transfer learning cross-lingual</v>
      </c>
      <c r="B4" s="17">
        <f>1/C3</f>
        <v>2.2894284851066637</v>
      </c>
      <c r="C4" s="17">
        <v>1</v>
      </c>
      <c r="D4" s="17">
        <f>GEOMEAN(D31,D38,D45)</f>
        <v>0.7937005259840998</v>
      </c>
      <c r="E4" s="17">
        <f>GEOMEAN(E31,E38,E45)</f>
        <v>1</v>
      </c>
    </row>
    <row r="5">
      <c r="A5" s="8" t="str">
        <v>Aprendizaje autosupervisado</v>
      </c>
      <c r="B5" s="17">
        <f>1/D3</f>
        <v>4.93242414866094</v>
      </c>
      <c r="C5" s="17">
        <f>1/D4</f>
        <v>1.259921049894873</v>
      </c>
      <c r="D5" s="17">
        <v>1</v>
      </c>
      <c r="E5" s="17">
        <f>GEOMEAN(E32,E39,E46)</f>
        <v>2</v>
      </c>
    </row>
    <row r="6">
      <c r="A6" s="8" t="str">
        <v>Data augmentation</v>
      </c>
      <c r="B6" s="17">
        <f>1/E3</f>
        <v>2.8844991406148166</v>
      </c>
      <c r="C6" s="17">
        <f>1/E4</f>
        <v>1</v>
      </c>
      <c r="D6" s="17">
        <f>1/E5</f>
        <v>0.5</v>
      </c>
      <c r="E6" s="17">
        <v>1</v>
      </c>
    </row>
    <row r="7">
      <c r="A7" s="18" t="str">
        <v>Suma</v>
      </c>
      <c r="B7" s="18">
        <f>SUM(B3:B6)</f>
        <v>11.106351774382421</v>
      </c>
      <c r="C7" s="18">
        <f>SUM(C3:C6)</f>
        <v>3.6967112822630224</v>
      </c>
      <c r="D7" s="18">
        <f>SUM(D3:D6)</f>
        <v>2.4964405925032134</v>
      </c>
      <c r="E7" s="18">
        <f>SUM(E3:E6)</f>
        <v>4.346680637175318</v>
      </c>
    </row>
    <row r="9">
      <c r="A9" s="18" t="str">
        <v>Normalizada</v>
      </c>
      <c r="F9" s="18" t="str">
        <v>Vector prioridad</v>
      </c>
    </row>
    <row r="10">
      <c r="A10" s="2" t="str">
        <v>Fine-tuning supervisado</v>
      </c>
      <c r="B10" s="19">
        <f>B3/B$7</f>
        <v>0.09003856714736608</v>
      </c>
      <c r="C10" s="19">
        <f>C3/C$7</f>
        <v>0.11815643663163188</v>
      </c>
      <c r="D10" s="19">
        <f>D3/D$7</f>
        <v>0.08121165275390081</v>
      </c>
      <c r="E10" s="19">
        <f>E3/E$7</f>
        <v>0.07975755895436733</v>
      </c>
      <c r="F10" s="20">
        <f>AVERAGE(B10:E10)</f>
        <v>0.09229105387181652</v>
      </c>
    </row>
    <row r="11">
      <c r="A11" s="2" t="str">
        <v>Transfer learning cross-lingual</v>
      </c>
      <c r="B11" s="19">
        <f>B4/B$7</f>
        <v>0.20613686038536894</v>
      </c>
      <c r="C11" s="19">
        <f>C4/C$7</f>
        <v>0.2705107117231585</v>
      </c>
      <c r="D11" s="19">
        <f>D4/D$7</f>
        <v>0.3179328714520885</v>
      </c>
      <c r="E11" s="19">
        <f>E4/E$7</f>
        <v>0.23006061026140814</v>
      </c>
      <c r="F11" s="20">
        <f>AVERAGE(B11:E11)</f>
        <v>0.256160263455506</v>
      </c>
    </row>
    <row r="12">
      <c r="A12" s="2" t="str">
        <v>Aprendizaje autosupervisado</v>
      </c>
      <c r="B12" s="19">
        <f>B5/B$7</f>
        <v>0.44410840290849796</v>
      </c>
      <c r="C12" s="19">
        <f>C5/C$7</f>
        <v>0.3408221399220512</v>
      </c>
      <c r="D12" s="19">
        <f>D5/D$7</f>
        <v>0.40057031719600705</v>
      </c>
      <c r="E12" s="19">
        <f>E5/E$7</f>
        <v>0.4601212205228163</v>
      </c>
      <c r="F12" s="20">
        <f>AVERAGE(B12:E12)</f>
        <v>0.4114055201373431</v>
      </c>
    </row>
    <row r="13">
      <c r="A13" s="2" t="str">
        <v>Data augmentation</v>
      </c>
      <c r="B13" s="19">
        <f>B6/B$7</f>
        <v>0.2597161695587669</v>
      </c>
      <c r="C13" s="19">
        <f>C6/C$7</f>
        <v>0.2705107117231585</v>
      </c>
      <c r="D13" s="19">
        <f>D6/D$7</f>
        <v>0.20028515859800353</v>
      </c>
      <c r="E13" s="19">
        <f>E6/E$7</f>
        <v>0.23006061026140814</v>
      </c>
      <c r="F13" s="20">
        <f>AVERAGE(B13:E13)</f>
        <v>0.24014316253533427</v>
      </c>
    </row>
    <row r="15">
      <c r="A15" s="15" t="str">
        <v>Verificación de consistencia</v>
      </c>
    </row>
    <row r="16">
      <c r="A16" s="2" t="str">
        <v>A·w (Fine-tuning supervisado)</v>
      </c>
      <c r="B16" s="19">
        <f>B3*$F$10 + C3*$F$11 + D3*$F$12 + E3*$F$13</f>
        <v>0.37084072199005425</v>
      </c>
      <c r="C16" s="19">
        <f>B16/F10</f>
        <v>4.018165428093568</v>
      </c>
      <c r="D16" s="2" t="str">
        <v>lambda parcial</v>
      </c>
    </row>
    <row r="17">
      <c r="A17" s="2" t="str">
        <v>A·w (Transfer learning cross-lingual)</v>
      </c>
      <c r="B17" s="19">
        <f>B4*$F$10 + C4*$F$11 + D4*$F$12 + E4*$F$13</f>
        <v>1.034129971371262</v>
      </c>
      <c r="C17" s="19">
        <f>B17/F11</f>
        <v>4.03704289424611</v>
      </c>
      <c r="D17" s="2" t="str">
        <v>lambda parcial</v>
      </c>
    </row>
    <row r="18">
      <c r="A18" s="2" t="str">
        <v>A·w (Aprendizaje autosupervisado)</v>
      </c>
      <c r="B18" s="19">
        <f>B5*$F$10 + C5*$F$11 + D5*$F$12 + E5*$F$13</f>
        <v>1.6696521761049357</v>
      </c>
      <c r="C18" s="19">
        <f>B18/F12</f>
        <v>4.058409754802369</v>
      </c>
      <c r="D18" s="2" t="str">
        <v>lambda parcial</v>
      </c>
    </row>
    <row r="19">
      <c r="A19" s="2" t="str">
        <v>A·w (Data augmentation)</v>
      </c>
      <c r="B19" s="19">
        <f>B6*$F$10 + C6*$F$11 + D6*$F$12 + E6*$F$13</f>
        <v>0.9682196516392023</v>
      </c>
      <c r="C19" s="19">
        <f>B19/F13</f>
        <v>4.031843511250253</v>
      </c>
      <c r="D19" s="2" t="str">
        <v>lambda parcial</v>
      </c>
    </row>
    <row r="20">
      <c r="A20" s="2" t="str">
        <v>lambda_max</v>
      </c>
      <c r="B20" s="19">
        <f>AVERAGE(C16:C19)</f>
        <v>4.036365397098075</v>
      </c>
    </row>
    <row r="21">
      <c r="A21" s="2" t="str">
        <v>CI = (lambda_max - n) / (n - 1)</v>
      </c>
      <c r="B21" s="19">
        <f>(B20-4)/(4-1)</f>
        <v>0.012121799032691763</v>
      </c>
    </row>
    <row r="22">
      <c r="A22" s="2" t="str">
        <v>RI (tabla Saaty, n=4)</v>
      </c>
      <c r="B22" s="21">
        <v>0.9</v>
      </c>
    </row>
    <row r="23">
      <c r="A23" s="18" t="str">
        <v>CR = CI / RI</v>
      </c>
      <c r="B23" s="20">
        <f>IFERROR(B21/B22,0)</f>
        <v>0.013468665591879737</v>
      </c>
    </row>
    <row r="24">
      <c r="A24" s="18" t="str">
        <v>¿Consistente? (CR &lt; 0.10)</v>
      </c>
      <c r="B24" s="18" t="str">
        <f>IF(B23&lt;0.1,"Sí, consistente","No, revisar juicios")</f>
        <v>Sí, consistente</v>
      </c>
    </row>
    <row r="26">
      <c r="A26" s="15" t="str">
        <v>Juicios individuales de los 3 expertos (entrada de GEOMEAN() de arriba)</v>
      </c>
    </row>
    <row r="28">
      <c r="A28" s="22" t="str">
        <v>Experto 1: Ingeniero/investigador en Machine Learning o voz (ASR)</v>
      </c>
    </row>
    <row r="29">
      <c r="B29" s="10" t="str">
        <v>Fine-tuning supervisado</v>
      </c>
      <c r="C29" s="10" t="str">
        <v>Transfer learning cross-lingual</v>
      </c>
      <c r="D29" s="10" t="str">
        <v>Aprendizaje autosupervisado</v>
      </c>
      <c r="E29" s="10" t="str">
        <v>Data augmentation</v>
      </c>
    </row>
    <row r="30">
      <c r="A30" s="8" t="str">
        <v>Fine-tuning supervisado</v>
      </c>
      <c r="B30" s="23">
        <v>1</v>
      </c>
      <c r="C30" s="23">
        <v>0.3333333333333333</v>
      </c>
      <c r="D30" s="23">
        <v>0.2</v>
      </c>
      <c r="E30" s="23">
        <v>0.3333333333333333</v>
      </c>
    </row>
    <row r="31">
      <c r="A31" s="8" t="str">
        <v>Transfer learning cross-lingual</v>
      </c>
      <c r="B31" s="23">
        <f>1/C30</f>
        <v>3</v>
      </c>
      <c r="C31" s="23">
        <v>1</v>
      </c>
      <c r="D31" s="23">
        <v>0.5</v>
      </c>
      <c r="E31" s="23">
        <v>1</v>
      </c>
    </row>
    <row r="32">
      <c r="A32" s="8" t="str">
        <v>Aprendizaje autosupervisado</v>
      </c>
      <c r="B32" s="23">
        <f>1/D30</f>
        <v>5</v>
      </c>
      <c r="C32" s="23">
        <f>1/D31</f>
        <v>2</v>
      </c>
      <c r="D32" s="23">
        <v>1</v>
      </c>
      <c r="E32" s="23">
        <v>2</v>
      </c>
    </row>
    <row r="33">
      <c r="A33" s="8" t="str">
        <v>Data augmentation</v>
      </c>
      <c r="B33" s="23">
        <f>1/E30</f>
        <v>3</v>
      </c>
      <c r="C33" s="23">
        <f>1/E31</f>
        <v>1</v>
      </c>
      <c r="D33" s="23">
        <f>1/E32</f>
        <v>0.5</v>
      </c>
      <c r="E33" s="23">
        <v>1</v>
      </c>
    </row>
    <row r="35">
      <c r="A35" s="22" t="str">
        <v>Experto 2: Ingeniero electrónico, procesamiento de señales</v>
      </c>
    </row>
    <row r="36">
      <c r="B36" s="10" t="str">
        <v>Fine-tuning supervisado</v>
      </c>
      <c r="C36" s="10" t="str">
        <v>Transfer learning cross-lingual</v>
      </c>
      <c r="D36" s="10" t="str">
        <v>Aprendizaje autosupervisado</v>
      </c>
      <c r="E36" s="10" t="str">
        <v>Data augmentation</v>
      </c>
    </row>
    <row r="37">
      <c r="A37" s="8" t="str">
        <v>Fine-tuning supervisado</v>
      </c>
      <c r="B37" s="23">
        <v>1</v>
      </c>
      <c r="C37" s="23">
        <v>0.5</v>
      </c>
      <c r="D37" s="23">
        <v>0.16666666666666666</v>
      </c>
      <c r="E37" s="23">
        <v>0.5</v>
      </c>
    </row>
    <row r="38">
      <c r="A38" s="8" t="str">
        <v>Transfer learning cross-lingual</v>
      </c>
      <c r="B38" s="23">
        <f>1/C37</f>
        <v>2</v>
      </c>
      <c r="C38" s="23">
        <v>1</v>
      </c>
      <c r="D38" s="23">
        <v>1</v>
      </c>
      <c r="E38" s="23">
        <v>1</v>
      </c>
    </row>
    <row r="39">
      <c r="A39" s="8" t="str">
        <v>Aprendizaje autosupervisado</v>
      </c>
      <c r="B39" s="23">
        <f>1/D37</f>
        <v>6</v>
      </c>
      <c r="C39" s="23">
        <f>1/D38</f>
        <v>1</v>
      </c>
      <c r="D39" s="23">
        <v>1</v>
      </c>
      <c r="E39" s="23">
        <v>2</v>
      </c>
    </row>
    <row r="40">
      <c r="A40" s="8" t="str">
        <v>Data augmentation</v>
      </c>
      <c r="B40" s="23">
        <f>1/E37</f>
        <v>2</v>
      </c>
      <c r="C40" s="23">
        <f>1/E38</f>
        <v>1</v>
      </c>
      <c r="D40" s="23">
        <f>1/E39</f>
        <v>0.5</v>
      </c>
      <c r="E40" s="23">
        <v>1</v>
      </c>
    </row>
    <row r="42">
      <c r="A42" s="22" t="str">
        <v>Experto 3: Hablante nativo colaborador</v>
      </c>
    </row>
    <row r="43">
      <c r="B43" s="10" t="str">
        <v>Fine-tuning supervisado</v>
      </c>
      <c r="C43" s="10" t="str">
        <v>Transfer learning cross-lingual</v>
      </c>
      <c r="D43" s="10" t="str">
        <v>Aprendizaje autosupervisado</v>
      </c>
      <c r="E43" s="10" t="str">
        <v>Data augmentation</v>
      </c>
    </row>
    <row r="44">
      <c r="A44" s="8" t="str">
        <v>Fine-tuning supervisado</v>
      </c>
      <c r="B44" s="23">
        <v>1</v>
      </c>
      <c r="C44" s="23">
        <v>0.5</v>
      </c>
      <c r="D44" s="23">
        <v>0.25</v>
      </c>
      <c r="E44" s="23">
        <v>0.25</v>
      </c>
    </row>
    <row r="45">
      <c r="A45" s="8" t="str">
        <v>Transfer learning cross-lingual</v>
      </c>
      <c r="B45" s="23">
        <f>1/C44</f>
        <v>2</v>
      </c>
      <c r="C45" s="23">
        <v>1</v>
      </c>
      <c r="D45" s="23">
        <v>1</v>
      </c>
      <c r="E45" s="23">
        <v>1</v>
      </c>
    </row>
    <row r="46">
      <c r="A46" s="8" t="str">
        <v>Aprendizaje autosupervisado</v>
      </c>
      <c r="B46" s="23">
        <f>1/D44</f>
        <v>4</v>
      </c>
      <c r="C46" s="23">
        <f>1/D45</f>
        <v>1</v>
      </c>
      <c r="D46" s="23">
        <v>1</v>
      </c>
      <c r="E46" s="23">
        <v>2</v>
      </c>
    </row>
    <row r="47">
      <c r="A47" s="8" t="str">
        <v>Data augmentation</v>
      </c>
      <c r="B47" s="23">
        <f>1/E44</f>
        <v>4</v>
      </c>
      <c r="C47" s="23">
        <f>1/E45</f>
        <v>1</v>
      </c>
      <c r="D47" s="23">
        <f>1/E46</f>
        <v>0.5</v>
      </c>
      <c r="E47" s="23">
        <v>1</v>
      </c>
    </row>
  </sheetData>
  <mergeCells count="1">
    <mergeCell ref="B1:E1"/>
  </mergeCells>
  <ignoredErrors>
    <ignoredError numberStoredAsText="1" sqref="A1:F4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34.83203125" customWidth="1"/>
    <col min="2" max="2" width="17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</cols>
  <sheetData>
    <row r="1" ht="30" customHeight="1">
      <c r="A1" s="3" t="str">
        <v>AHP, Transferibilidad entre lenguas</v>
      </c>
      <c r="B1" s="6" t="str">
        <v>Media geométrica de los expertos. Prefiere la que mejor se traslada a otra lengua de la Sierra Nevada sin reentrenar desde cero.</v>
      </c>
    </row>
    <row r="2">
      <c r="B2" s="10" t="str">
        <v>Fine-tuning supervisado</v>
      </c>
      <c r="C2" s="10" t="str">
        <v>Transfer learning cross-lingual</v>
      </c>
      <c r="D2" s="10" t="str">
        <v>Aprendizaje autosupervisado</v>
      </c>
      <c r="E2" s="10" t="str">
        <v>Data augmentation</v>
      </c>
    </row>
    <row r="3">
      <c r="A3" s="8" t="str">
        <v>Fine-tuning supervisado</v>
      </c>
      <c r="B3" s="17">
        <v>1</v>
      </c>
      <c r="C3" s="17">
        <f>GEOMEAN(C30,C37,C44)</f>
        <v>0.30285343213869</v>
      </c>
      <c r="D3" s="17">
        <f>GEOMEAN(D30,D37,D44)</f>
        <v>0.3466806371753174</v>
      </c>
      <c r="E3" s="17">
        <f>GEOMEAN(E30,E37,E44)</f>
        <v>1</v>
      </c>
    </row>
    <row r="4">
      <c r="A4" s="8" t="str">
        <v>Transfer learning cross-lingual</v>
      </c>
      <c r="B4" s="17">
        <f>1/C3</f>
        <v>3.3019272488946263</v>
      </c>
      <c r="C4" s="17">
        <v>1</v>
      </c>
      <c r="D4" s="17">
        <f>GEOMEAN(D31,D38,D45)</f>
        <v>1.5874010519681994</v>
      </c>
      <c r="E4" s="17">
        <f>GEOMEAN(E31,E38,E45)</f>
        <v>3.9148676411688634</v>
      </c>
    </row>
    <row r="5">
      <c r="A5" s="8" t="str">
        <v>Aprendizaje autosupervisado</v>
      </c>
      <c r="B5" s="17">
        <f>1/D3</f>
        <v>2.8844991406148166</v>
      </c>
      <c r="C5" s="17">
        <f>1/D4</f>
        <v>0.6299605249474366</v>
      </c>
      <c r="D5" s="17">
        <v>1</v>
      </c>
      <c r="E5" s="17">
        <f>GEOMEAN(E32,E39,E46)</f>
        <v>3.634241185664279</v>
      </c>
    </row>
    <row r="6">
      <c r="A6" s="8" t="str">
        <v>Data augmentation</v>
      </c>
      <c r="B6" s="17">
        <f>1/E3</f>
        <v>1</v>
      </c>
      <c r="C6" s="17">
        <f>1/E4</f>
        <v>0.2554364774645177</v>
      </c>
      <c r="D6" s="17">
        <f>1/E5</f>
        <v>0.27516060407455223</v>
      </c>
      <c r="E6" s="17">
        <v>1</v>
      </c>
    </row>
    <row r="7">
      <c r="A7" s="18" t="str">
        <v>Suma</v>
      </c>
      <c r="B7" s="18">
        <f>SUM(B3:B6)</f>
        <v>8.186426389509442</v>
      </c>
      <c r="C7" s="18">
        <f>SUM(C3:C6)</f>
        <v>2.1882504345506444</v>
      </c>
      <c r="D7" s="18">
        <f>SUM(D3:D6)</f>
        <v>3.209242293218069</v>
      </c>
      <c r="E7" s="18">
        <f>SUM(E3:E6)</f>
        <v>9.549108826833141</v>
      </c>
    </row>
    <row r="9">
      <c r="A9" s="18" t="str">
        <v>Normalizada</v>
      </c>
      <c r="F9" s="18" t="str">
        <v>Vector prioridad</v>
      </c>
    </row>
    <row r="10">
      <c r="A10" s="2" t="str">
        <v>Fine-tuning supervisado</v>
      </c>
      <c r="B10" s="19">
        <f>B3/B$7</f>
        <v>0.12215342231397298</v>
      </c>
      <c r="C10" s="19">
        <f>C3/C$7</f>
        <v>0.13839980440853</v>
      </c>
      <c r="D10" s="19">
        <f>D3/D$7</f>
        <v>0.10802569750122644</v>
      </c>
      <c r="E10" s="19">
        <f>E3/E$7</f>
        <v>0.10472181416447834</v>
      </c>
      <c r="F10" s="20">
        <f>AVERAGE(B10:E10)</f>
        <v>0.11832518459705194</v>
      </c>
    </row>
    <row r="11">
      <c r="A11" s="2" t="str">
        <v>Transfer learning cross-lingual</v>
      </c>
      <c r="B11" s="19">
        <f>B4/B$7</f>
        <v>0.40334171368424027</v>
      </c>
      <c r="C11" s="19">
        <f>C4/C$7</f>
        <v>0.45698608541821184</v>
      </c>
      <c r="D11" s="19">
        <f>D4/D$7</f>
        <v>0.49463421796564705</v>
      </c>
      <c r="E11" s="19">
        <f>E4/E$7</f>
        <v>0.4099720415970154</v>
      </c>
      <c r="F11" s="20">
        <f>AVERAGE(B11:E11)</f>
        <v>0.44123351466627864</v>
      </c>
    </row>
    <row r="12">
      <c r="A12" s="2" t="str">
        <v>Aprendizaje autosupervisado</v>
      </c>
      <c r="B12" s="19">
        <f>B5/B$7</f>
        <v>0.35235144168781385</v>
      </c>
      <c r="C12" s="19">
        <f>C5/C$7</f>
        <v>0.2878831942637308</v>
      </c>
      <c r="D12" s="19">
        <f>D5/D$7</f>
        <v>0.3116000316066038</v>
      </c>
      <c r="E12" s="19">
        <f>E5/E$7</f>
        <v>0.38058433007402803</v>
      </c>
      <c r="F12" s="20">
        <f>AVERAGE(B12:E12)</f>
        <v>0.33310474940804413</v>
      </c>
    </row>
    <row r="13">
      <c r="A13" s="2" t="str">
        <v>Data augmentation</v>
      </c>
      <c r="B13" s="19">
        <f>B6/B$7</f>
        <v>0.12215342231397298</v>
      </c>
      <c r="C13" s="19">
        <f>C6/C$7</f>
        <v>0.11673091590952724</v>
      </c>
      <c r="D13" s="19">
        <f>D6/D$7</f>
        <v>0.08574005292652268</v>
      </c>
      <c r="E13" s="19">
        <f>E6/E$7</f>
        <v>0.10472181416447834</v>
      </c>
      <c r="F13" s="20">
        <f>AVERAGE(B13:E13)</f>
        <v>0.10733655132862531</v>
      </c>
    </row>
    <row r="15">
      <c r="A15" s="15" t="str">
        <v>Verificación de consistencia</v>
      </c>
    </row>
    <row r="16">
      <c r="A16" s="2" t="str">
        <v>A·w (Fine-tuning supervisado)</v>
      </c>
      <c r="B16" s="19">
        <f>B3*$F$10 + C3*$F$11 + D3*$F$12 + E3*$F$13</f>
        <v>0.4747717869878819</v>
      </c>
      <c r="C16" s="19">
        <f>B16/F10</f>
        <v>4.012432252733716</v>
      </c>
      <c r="D16" s="2" t="str">
        <v>lambda parcial</v>
      </c>
    </row>
    <row r="17">
      <c r="A17" s="2" t="str">
        <v>A·w (Transfer learning cross-lingual)</v>
      </c>
      <c r="B17" s="19">
        <f>B4*$F$10 + C4*$F$11 + D4*$F$12 + E4*$F$13</f>
        <v>1.7809138870547998</v>
      </c>
      <c r="C17" s="19">
        <f>B17/F11</f>
        <v>4.036216261590581</v>
      </c>
      <c r="D17" s="2" t="str">
        <v>lambda parcial</v>
      </c>
    </row>
    <row r="18">
      <c r="A18" s="2" t="str">
        <v>A·w (Aprendizaje autosupervisado)</v>
      </c>
      <c r="B18" s="19">
        <f>B5*$F$10 + C5*$F$11 + D5*$F$12 + E5*$F$13</f>
        <v>1.3424602547805593</v>
      </c>
      <c r="C18" s="19">
        <f>B18/F12</f>
        <v>4.030144443050503</v>
      </c>
      <c r="D18" s="2" t="str">
        <v>lambda parcial</v>
      </c>
    </row>
    <row r="19">
      <c r="A19" s="2" t="str">
        <v>A·w (Data augmentation)</v>
      </c>
      <c r="B19" s="19">
        <f>B6*$F$10 + C6*$F$11 + D6*$F$12 + E6*$F$13</f>
        <v>0.4300261747185398</v>
      </c>
      <c r="C19" s="19">
        <f>B19/F13</f>
        <v>4.006334928741625</v>
      </c>
      <c r="D19" s="2" t="str">
        <v>lambda parcial</v>
      </c>
    </row>
    <row r="20">
      <c r="A20" s="2" t="str">
        <v>lambda_max</v>
      </c>
      <c r="B20" s="19">
        <f>AVERAGE(C16:C19)</f>
        <v>4.021281971529106</v>
      </c>
    </row>
    <row r="21">
      <c r="A21" s="2" t="str">
        <v>CI = (lambda_max - n) / (n - 1)</v>
      </c>
      <c r="B21" s="19">
        <f>(B20-4)/(4-1)</f>
        <v>0.007093990509702053</v>
      </c>
    </row>
    <row r="22">
      <c r="A22" s="2" t="str">
        <v>RI (tabla Saaty, n=4)</v>
      </c>
      <c r="B22" s="21">
        <v>0.9</v>
      </c>
    </row>
    <row r="23">
      <c r="A23" s="18" t="str">
        <v>CR = CI / RI</v>
      </c>
      <c r="B23" s="20">
        <f>IFERROR(B21/B22,0)</f>
        <v>0.007882211677446726</v>
      </c>
    </row>
    <row r="24">
      <c r="A24" s="18" t="str">
        <v>¿Consistente? (CR &lt; 0.10)</v>
      </c>
      <c r="B24" s="18" t="str">
        <f>IF(B23&lt;0.1,"Sí, consistente","No, revisar juicios")</f>
        <v>Sí, consistente</v>
      </c>
    </row>
    <row r="26">
      <c r="A26" s="15" t="str">
        <v>Juicios individuales de los 3 expertos (entrada de GEOMEAN() de arriba)</v>
      </c>
    </row>
    <row r="28">
      <c r="A28" s="22" t="str">
        <v>Experto 1: Ingeniero/investigador en Machine Learning o voz (ASR)</v>
      </c>
    </row>
    <row r="29">
      <c r="B29" s="10" t="str">
        <v>Fine-tuning supervisado</v>
      </c>
      <c r="C29" s="10" t="str">
        <v>Transfer learning cross-lingual</v>
      </c>
      <c r="D29" s="10" t="str">
        <v>Aprendizaje autosupervisado</v>
      </c>
      <c r="E29" s="10" t="str">
        <v>Data augmentation</v>
      </c>
    </row>
    <row r="30">
      <c r="A30" s="8" t="str">
        <v>Fine-tuning supervisado</v>
      </c>
      <c r="B30" s="23">
        <v>1</v>
      </c>
      <c r="C30" s="23">
        <v>0.25</v>
      </c>
      <c r="D30" s="23">
        <v>0.3333333333333333</v>
      </c>
      <c r="E30" s="23">
        <v>1</v>
      </c>
    </row>
    <row r="31">
      <c r="A31" s="8" t="str">
        <v>Transfer learning cross-lingual</v>
      </c>
      <c r="B31" s="23">
        <f>1/C30</f>
        <v>4</v>
      </c>
      <c r="C31" s="23">
        <v>1</v>
      </c>
      <c r="D31" s="23">
        <v>1</v>
      </c>
      <c r="E31" s="23">
        <v>4</v>
      </c>
    </row>
    <row r="32">
      <c r="A32" s="8" t="str">
        <v>Aprendizaje autosupervisado</v>
      </c>
      <c r="B32" s="23">
        <f>1/D30</f>
        <v>3</v>
      </c>
      <c r="C32" s="23">
        <f>1/D31</f>
        <v>1</v>
      </c>
      <c r="D32" s="23">
        <v>1</v>
      </c>
      <c r="E32" s="23">
        <v>3</v>
      </c>
    </row>
    <row r="33">
      <c r="A33" s="8" t="str">
        <v>Data augmentation</v>
      </c>
      <c r="B33" s="23">
        <f>1/E30</f>
        <v>1</v>
      </c>
      <c r="C33" s="23">
        <f>1/E31</f>
        <v>0.25</v>
      </c>
      <c r="D33" s="23">
        <f>1/E32</f>
        <v>0.3333333333333333</v>
      </c>
      <c r="E33" s="23">
        <v>1</v>
      </c>
    </row>
    <row r="35">
      <c r="A35" s="22" t="str">
        <v>Experto 2: Ingeniero electrónico, procesamiento de señales</v>
      </c>
    </row>
    <row r="36">
      <c r="B36" s="10" t="str">
        <v>Fine-tuning supervisado</v>
      </c>
      <c r="C36" s="10" t="str">
        <v>Transfer learning cross-lingual</v>
      </c>
      <c r="D36" s="10" t="str">
        <v>Aprendizaje autosupervisado</v>
      </c>
      <c r="E36" s="10" t="str">
        <v>Data augmentation</v>
      </c>
    </row>
    <row r="37">
      <c r="A37" s="8" t="str">
        <v>Fine-tuning supervisado</v>
      </c>
      <c r="B37" s="23">
        <v>1</v>
      </c>
      <c r="C37" s="23">
        <v>0.3333333333333333</v>
      </c>
      <c r="D37" s="23">
        <v>0.25</v>
      </c>
      <c r="E37" s="23">
        <v>1</v>
      </c>
    </row>
    <row r="38">
      <c r="A38" s="8" t="str">
        <v>Transfer learning cross-lingual</v>
      </c>
      <c r="B38" s="23">
        <f>1/C37</f>
        <v>3</v>
      </c>
      <c r="C38" s="23">
        <v>1</v>
      </c>
      <c r="D38" s="23">
        <v>2</v>
      </c>
      <c r="E38" s="23">
        <v>3</v>
      </c>
    </row>
    <row r="39">
      <c r="A39" s="8" t="str">
        <v>Aprendizaje autosupervisado</v>
      </c>
      <c r="B39" s="23">
        <f>1/D37</f>
        <v>4</v>
      </c>
      <c r="C39" s="23">
        <f>1/D38</f>
        <v>0.5</v>
      </c>
      <c r="D39" s="23">
        <v>1</v>
      </c>
      <c r="E39" s="23">
        <v>4</v>
      </c>
    </row>
    <row r="40">
      <c r="A40" s="8" t="str">
        <v>Data augmentation</v>
      </c>
      <c r="B40" s="23">
        <f>1/E37</f>
        <v>1</v>
      </c>
      <c r="C40" s="23">
        <f>1/E38</f>
        <v>0.3333333333333333</v>
      </c>
      <c r="D40" s="23">
        <f>1/E39</f>
        <v>0.25</v>
      </c>
      <c r="E40" s="23">
        <v>1</v>
      </c>
    </row>
    <row r="42">
      <c r="A42" s="22" t="str">
        <v>Experto 3: Hablante nativo colaborador</v>
      </c>
    </row>
    <row r="43">
      <c r="B43" s="10" t="str">
        <v>Fine-tuning supervisado</v>
      </c>
      <c r="C43" s="10" t="str">
        <v>Transfer learning cross-lingual</v>
      </c>
      <c r="D43" s="10" t="str">
        <v>Aprendizaje autosupervisado</v>
      </c>
      <c r="E43" s="10" t="str">
        <v>Data augmentation</v>
      </c>
    </row>
    <row r="44">
      <c r="A44" s="8" t="str">
        <v>Fine-tuning supervisado</v>
      </c>
      <c r="B44" s="23">
        <v>1</v>
      </c>
      <c r="C44" s="23">
        <v>0.3333333333333333</v>
      </c>
      <c r="D44" s="23">
        <v>0.5</v>
      </c>
      <c r="E44" s="23">
        <v>1</v>
      </c>
    </row>
    <row r="45">
      <c r="A45" s="8" t="str">
        <v>Transfer learning cross-lingual</v>
      </c>
      <c r="B45" s="23">
        <f>1/C44</f>
        <v>3</v>
      </c>
      <c r="C45" s="23">
        <v>1</v>
      </c>
      <c r="D45" s="23">
        <v>2</v>
      </c>
      <c r="E45" s="23">
        <v>5</v>
      </c>
    </row>
    <row r="46">
      <c r="A46" s="8" t="str">
        <v>Aprendizaje autosupervisado</v>
      </c>
      <c r="B46" s="23">
        <f>1/D44</f>
        <v>2</v>
      </c>
      <c r="C46" s="23">
        <f>1/D45</f>
        <v>0.5</v>
      </c>
      <c r="D46" s="23">
        <v>1</v>
      </c>
      <c r="E46" s="23">
        <v>4</v>
      </c>
    </row>
    <row r="47">
      <c r="A47" s="8" t="str">
        <v>Data augmentation</v>
      </c>
      <c r="B47" s="23">
        <f>1/E44</f>
        <v>1</v>
      </c>
      <c r="C47" s="23">
        <f>1/E45</f>
        <v>0.2</v>
      </c>
      <c r="D47" s="23">
        <f>1/E46</f>
        <v>0.25</v>
      </c>
      <c r="E47" s="23">
        <v>1</v>
      </c>
    </row>
  </sheetData>
  <mergeCells count="1">
    <mergeCell ref="B1:E1"/>
  </mergeCells>
  <ignoredErrors>
    <ignoredError numberStoredAsText="1" sqref="A1:F4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 ht="20" customHeight="1">
      <c r="A1" s="18" t="str">
        <v>Estrategia</v>
      </c>
    </row>
    <row r="2" ht="34" customHeight="1">
      <c r="B2" s="10" t="str">
        <v>Eficiencia de datos</v>
      </c>
      <c r="C2" s="10" t="str">
        <v>Métricas WER/CER</v>
      </c>
      <c r="D2" s="10" t="str">
        <v>Madurez y soporte de herramientas</v>
      </c>
      <c r="E2" s="10" t="str">
        <v>Dependencia de anotación</v>
      </c>
      <c r="F2" s="10" t="str">
        <v>Transferibilidad entre lenguas</v>
      </c>
      <c r="G2" s="10" t="str">
        <v>Prioridad global</v>
      </c>
      <c r="H2" s="10" t="str">
        <v>Ranking</v>
      </c>
    </row>
    <row r="3">
      <c r="A3" s="18" t="str">
        <v>Peso del criterio</v>
      </c>
      <c r="B3" s="19">
        <f>Criterios!G11</f>
        <v>0.32039143901406264</v>
      </c>
      <c r="C3" s="19">
        <f>Criterios!G12</f>
        <v>0.23783379572682356</v>
      </c>
      <c r="D3" s="19">
        <f>Criterios!G13</f>
        <v>0.11697913118618992</v>
      </c>
      <c r="E3" s="19">
        <f>Criterios!G14</f>
        <v>0.1875142252175508</v>
      </c>
      <c r="F3" s="19">
        <f>Criterios!G15</f>
        <v>0.1372814088553731</v>
      </c>
    </row>
    <row r="4">
      <c r="A4" s="18" t="str">
        <v>Fine-tuning supervisado</v>
      </c>
      <c r="B4" s="19">
        <f>'Eficiencia de datos'!F10</f>
        <v>0.12413474001373094</v>
      </c>
      <c r="C4" s="19">
        <f>'Métricas WER CER'!F10</f>
        <v>0.18202207014507288</v>
      </c>
      <c r="D4" s="19">
        <f>'Madurez y soporte de herrami'!F10</f>
        <v>0.32659855265256754</v>
      </c>
      <c r="E4" s="19">
        <f>'Dependencia de anotación'!F10</f>
        <v>0.09229105387181652</v>
      </c>
      <c r="F4" s="19">
        <f>'Transferibilidad entre lengu'!F10</f>
        <v>0.11832518459705194</v>
      </c>
      <c r="G4" s="20">
        <f>SUMPRODUCT(B4:F4,B$3:F$3)</f>
        <v>0.1548176562750974</v>
      </c>
      <c r="H4" s="23">
        <f>RANK(G4,G$4:G$7)</f>
        <v>4</v>
      </c>
    </row>
    <row r="5">
      <c r="A5" s="18" t="str">
        <v>Transfer learning cross-lingual</v>
      </c>
      <c r="B5" s="19">
        <f>'Eficiencia de datos'!F11</f>
        <v>0.3023151561696015</v>
      </c>
      <c r="C5" s="19">
        <f>'Métricas WER CER'!F11</f>
        <v>0.28240927266568383</v>
      </c>
      <c r="D5" s="19">
        <f>'Madurez y soporte de herrami'!F11</f>
        <v>0.24622914430683304</v>
      </c>
      <c r="E5" s="19">
        <f>'Dependencia de anotación'!F11</f>
        <v>0.256160263455506</v>
      </c>
      <c r="F5" s="19">
        <f>'Transferibilidad entre lengu'!F11</f>
        <v>0.44123351466627864</v>
      </c>
      <c r="G5" s="20">
        <f>SUMPRODUCT(B5:F5,B$3:F$3)</f>
        <v>0.3014361804221806</v>
      </c>
      <c r="H5" s="23">
        <f>RANK(G5,G$4:G$7)</f>
        <v>2</v>
      </c>
    </row>
    <row r="6">
      <c r="A6" s="18" t="str">
        <v>Aprendizaje autosupervisado</v>
      </c>
      <c r="B6" s="19">
        <f>'Eficiencia de datos'!F12</f>
        <v>0.35939565048699634</v>
      </c>
      <c r="C6" s="19">
        <f>'Métricas WER CER'!F12</f>
        <v>0.3704012171382756</v>
      </c>
      <c r="D6" s="19">
        <f>'Madurez y soporte de herrami'!F12</f>
        <v>0.1959157123729458</v>
      </c>
      <c r="E6" s="19">
        <f>'Dependencia de anotación'!F12</f>
        <v>0.4114055201373431</v>
      </c>
      <c r="F6" s="19">
        <f>'Transferibilidad entre lengu'!F12</f>
        <v>0.33310474940804413</v>
      </c>
      <c r="G6" s="20">
        <f>SUMPRODUCT(B6:F6,B$3:F$3)</f>
        <v>0.3490327435217957</v>
      </c>
      <c r="H6" s="23">
        <f>RANK(G6,G$4:G$7)</f>
        <v>1</v>
      </c>
    </row>
    <row r="7">
      <c r="A7" s="18" t="str">
        <v>Data augmentation</v>
      </c>
      <c r="B7" s="19">
        <f>'Eficiencia de datos'!F13</f>
        <v>0.21415445332967117</v>
      </c>
      <c r="C7" s="19">
        <f>'Métricas WER CER'!F13</f>
        <v>0.1651674400509677</v>
      </c>
      <c r="D7" s="19">
        <f>'Madurez y soporte de herrami'!F13</f>
        <v>0.2312565906676536</v>
      </c>
      <c r="E7" s="19">
        <f>'Dependencia de anotación'!F13</f>
        <v>0.24014316253533427</v>
      </c>
      <c r="F7" s="19">
        <f>'Transferibilidad entre lengu'!F13</f>
        <v>0.10733655132862531</v>
      </c>
      <c r="G7" s="20">
        <f>SUMPRODUCT(B7:F7,B$3:F$3)</f>
        <v>0.1947134197809263</v>
      </c>
      <c r="H7" s="23">
        <f>RANK(G7,G$4:G$7)</f>
        <v>3</v>
      </c>
    </row>
    <row r="9">
      <c r="A9" s="25" t="str">
        <v>Ganador</v>
      </c>
      <c r="B9" s="26" t="str">
        <f>INDEX(A4:A7,MATCH(MAX(G4:G7),G4:G7,0))</f>
        <v>Aprendizaje autosupervisado</v>
      </c>
      <c r="C9" s="2" t="str">
        <v>con prioridad global de</v>
      </c>
      <c r="D9" s="27">
        <f>MAX(G4:G7)</f>
        <v>0.3490327435217957</v>
      </c>
    </row>
  </sheetData>
  <ignoredErrors>
    <ignoredError numberStoredAsText="1" sqref="A1:H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cols>
    <col min="1" max="1" width="20.83203125" customWidth="1"/>
  </cols>
  <sheetData>
    <row r="1">
      <c r="A1" s="2" t="str">
        <v>{"v":2,"nid":100,"view":"A1","exId":"e0","demo":true,"obj":"Seleccionar la estrategia de adaptación de modelos de reconocimiento automático de voz (ASR) con mejor desempeño para una lengua indígena de la región con escasos recursos lingüísticos digitales","A":{"cands":[{"id":"c1","name":"Eficiencia de datos","desc":"Horas de audio transcrito necesarias para un desempeño aceptable","stage":"keep","at":"","target":null,"reason":"","evid":"","qmide":"Cuánto corpus etiquetado exige la estrategia para un desempeño aceptable.","ind":"El aprendizaje autosupervisado puede requerir menos audio etiquetado pero más cómputo; el fine-tuning supervisado, lo inverso — no covaría con Costo computacional.","sq":[5,5,5,5,5],"se":{"v1":5,"v2":5,"v3":5,"v4":5},"just":"Escasez de recursos digitales es la premisa central de la tesis; consistente en las 5 preguntas.","cutReason":""},{"id":"c2","name":"Precisión alcanzable (WER/CER)","desc":"Desempeño reportado en literatura para lenguas de bajos recursos","stage":"keep","at":"","target":null,"reason":"","evid":"","qmide":"Desempeño reportado en la literatura para lenguas de bajos recursos.","ind":"Una estrategia puede ser eficiente en datos pero no llegar a la mejor precisión reportada (ej. data augmentation); prueba de que ambos ejes miden cosas distintas.","sq":[5,5,4,5,5],"se":{"v1":4,"v2":4.5,"v3":5,"v4":5},"just":"Es la métrica de evaluación del OE1 del Anexo 2 vigente.","cutReason":""},{"id":"c3","name":"Costo computacional","desc":"GPU/horas de cómputo y almacenamiento","stage":"keep","at":"","target":null,"reason":"","evid":"","qmide":"GPU/horas de cómputo y almacenamiento que exige el entrenamiento.","ind":"Depende del hardware disponible, no de cuántos datos etiquetados existan ni de qué tan madura esté la herramienta.","sq":[4,4,5,5,4],"se":{"v1":2,"v2":3,"v3":3,"v4":3},"just":"Determina la viabilidad práctica de cada estrategia dado el hardware disponible.","cutReason":""},{"id":"c4","name":"Tiempo total de entrenamiento","desc":"Horas de cómputo/GPU necesarias hasta obtener el modelo entrenado","stage":"merge","at":"tam","target":"c3","reason":"Se funde con Costo computacional: en la práctica el tiempo es consecuencia directa del costo de cómputo disponible, no una dimensión independiente.","evid":"Baevski et al. 2020; Radford et al. 2022","qmide":"","ind":"","sq":[null,null,null,null,null],"se":{},"just":"","cutReason":"Se funde con Costo computacional."},{"id":"c5","name":"Complejidad de implementación técnica","desc":"Qué tan fácil es montar la estrategia: pasos, ajustes finos, curva de aprendizaje","stage":"merge","at":"tam","target":"c6","reason":"Se funde con Madurez y soporte de herramientas: lo que hace compleja o simple una estrategia es si existe una implementación madura y documentada o si hay que construirla desde cero.","evid":"Pratap et al. 2023 (MMS)","qmide":"","ind":"","sq":[null,null,null,null,null],"se":{},"just":"","cutReason":"Se funde con Madurez y soporte de herramientas."},{"id":"c6","name":"Madurez y soporte de herramientas","desc":"Whisper, wav2vec 2.0, MMS","stage":"keep","at":"","target":null,"reason":"","evid":"","qmide":"Existencia de implementaciones estables y documentadas (Whisper, wav2vec 2.0, MMS).","ind":"Una estrategia puede ser barata en cómputo pero tener herramientas poco maduras, o viceversa; hecho de ecosistema de software.","sq":[4,4,4,4,5],"se":{"v1":4,"v2":4.8,"v3":4,"v4":4},"just":"Existencia de implementaciones estables (Whisper, wav2vec 2.0, MMS) o necesidad de construir desde cero.","cutReason":""},{"id":"c7","name":"Transferibilidad entre lenguas","desc":"Qué tan bien se traslada el modelo/conocimiento aprendido a otra lengua sin reentrenar desde cero","stage":"keep","at":"","target":null,"reason":"","evid":"","qmide":"Si lo aprendido sirve para otra lengua de la Sierra Nevada sin rehacer todo.","ind":"Es una propiedad de portabilidad del conocimiento aprendido, distinta de qué tan preciso o barato es entrenar para una sola lengua.","sq":[4,4,3,5,3],"se":{"v1":3,"v2":4.5,"v3":4,"v4":5},"just":"","cutReason":"Justo bajo el corte: relevante para la sostenibilidad metodológica del proyecto, pero no crítico para decidir entre las 4 estrategias hoy."},{"id":"c8","name":"Dependencia de anotación por hablantes","desc":"Cuántas horas de habla debe transcribir/etiquetar un hablante nativo para que la estrategia funcione","stage":"keep","at":"","target":null,"reason":"","evid":"","qmide":"Cuánto trabajo de transcripción exige a la comunidad.","ind":"Es un costo social/operativo hacia la comunidad, distinto del costo computacional (que es un costo hacia la infraestructura).","sq":[3,3,4,5,5],"se":{"v1":4,"v2":4.6,"v3":5,"v4":4},"just":"Criterio ético-operativo: conecta la decisión con el CITS y la participación comunitaria.","cutReason":""},{"id":"c9","name":"Robustez ante datos ruidosos o de campo","desc":"Desempeño de la estrategia cuando el audio tiene ruido ambiental, acentos o grabaciones de campo","stage":"drop","at":"tam","target":null,"reason":"No es medible aún por alternativa: no existe todavía corpus grabado en campo para esta lengua.","evid":"Anexo 2 vigente, §Metodología","qmide":"","ind":"","sq":[null,null,null,null,null],"se":{},"just":"","cutReason":"No medible aún: no existe corpus grabado en campo."},{"id":"c10","name":"Escalabilidad si crece el corpus en el futuro","desc":"Si el desempeño se mantiene o mejora al añadir más datos en el futuro","stage":"drop","at":"tam","target":null,"reason":"No distingue entre las 4 estrategias en el momento de la decisión; las 4 escalan de forma comparable si el corpus crece.","evid":"Anexo 2 vigente, §Metodología","qmide":"","ind":"","sq":[null,null,null,null,null],"se":{},"just":"","cutReason":"No distingue entre las 4 estrategias en el momento de decidir."},{"id":"c11","name":"Reproducibilidad metodológica","desc":"Documentable y replicable","stage":"keep","at":"","target":null,"reason":"","evid":"","qmide":"Qué tan documentable y replicable queda el procedimiento.","ind":"Una estrategia puede ser precisa pero poco reproducible si depende de ajustes no documentados; es un eje de rigor metodológico, no de desempeño.","sq":[2,2,3,4,3],"se":{},"just":"","cutReason":"Ponderación 2.8, la más baja: depende de qué tan documentado quede el procedimiento, no de evidencia técnica citable per se."},{"id":"c12","name":"Riesgo de sobreajuste (overfitting) con corpus pequeño","desc":"Probabilidad de que el modelo memorice el corpus pequeño en vez de generalizar","stage":"merge","at":"tam","target":"c1","reason":"Es consecuencia directa de Eficiencia de datos; se solaparía con ese criterio al calificar.","evid":"Zevallos et al. 2022 (data augmentation, Quechua)","qmide":"","ind":"","sq":[null,null,null,null,null],"se":{},"just":"","cutReason":"Consecuencia directa de Eficiencia de datos."}],"evaluators":[{"id":"v1","name":"Evaluador 1"},{"id":"v2","name":"Evaluador 2"},{"id":"v3","name":"Evaluador 3"},{"id":"v4","name":"Evaluador 4"}],"questions":["¿hay evidencia técnica citable (paper fundacional, documentación oficial) para las 4 estrategias?","¿dato cuantitativo/verificable y comparable entre las 4?","¿evidencia consistente y actual (no contradictoria, no obsoleta)?","¿independiente de los demás candidatos?","¿directamente crítico para el objetivo del caso?"],"mode":"ev","cutoff":4},"crit":[{"id":"k0","src":"c1","name":"Eficiencia de datos","hint":"Prefiere la estrategia que necesita MENOS horas de audio transcrito para un desempeño aceptable."},{"id":"k1","src":"c2","name":"Métricas WER/CER","hint":"Prefiere la que alcanza el MENOR error (WER/CER) según lo reportado para lenguas de pocos recursos."},{"id":"k2","src":"c6","name":"Madurez y soporte de herramientas","hint":"Prefiere la que tiene implementaciones más estables y documentadas (Whisper, wav2vec 2.0, MMS)."},{"id":"k3","src":"c8","name":"Dependencia de anotación","hint":"Prefiere la que exige MENOS transcripción por parte de los hablantes nativos."},{"id":"k4","src":"c7","name":"Transferibilidad entre lenguas","hint":"Prefiere la que mejor se traslada a otra lengua de la Sierra Nevada sin reentrenar desde cero."}],"alt":[{"id":"a0","name":"Fine-tuning supervisado"},{"id":"a1","name":"Transfer learning cross-lingual"},{"id":"a2","name":"Aprendizaje autosupervisado"},{"id":"a3","name":"Data augmentation"}],"experts":[{"id":"e0","name":"Ingeniero/investigador en Machine Learning o voz (ASR)"},{"id":"e1","name":"Ingeniero electrónico, procesamiento de señales"},{"id":"e2","name":"Hablante nativo colaborador"}],"J":{"crit":{"e0":{"k0-k1":0,"k0-k2":-2,"k0-k3":-1,"k0-k4":-1,"k1-k2":-1,"k1-k3":0,"k1-k4":-1,"k2-k3":1,"k2-k4":0,"k3-k4":0},"e1":{"k0-k1":-1,"k0-k2":-1,"k0-k3":-1,"k0-k4":-1,"k1-k2":-2,"k1-k3":0,"k1-k4":-1,"k2-k3":0,"k2-k4":1,"k3-k4":-1},"e2":{"k0-k1":-1,"k0-k2":-2,"k0-k3":0,"k0-k4":-2,"k1-k2":-2,"k1-k3":-1,"k1-k4":0,"k2-k3":0,"k2-k4":0,"k3-k4":-1}},"alt":{"k0":{"e0":{"a0-a1":2,"a0-a2":2,"a0-a3":1,"a1-a2":0,"a1-a3":0,"a2-a3":-1},"e1":{"a0-a1":1,"a0-a2":3,"a0-a3":0,"a1-a2":0,"a1-a3":0,"a2-a3":-1},"e2":{"a0-a1":1,"a0-a2":1,"a0-a3":2,"a1-a2":0,"a1-a3":-1,"a2-a3":-1}},"k1":{"e0":{"a0-a1":1,"a0-a2":1,"a0-a3":0,"a1-a2":0,"a1-a3":-1,"a2-a3":-1},"e1":{"a0-a1":0,"a0-a2":2,"a0-a3":0,"a1-a2":0,"a1-a3":0,"a2-a3":-2},"e2":{"a0-a1":0,"a0-a2":1,"a0-a3":0,"a1-a2":0,"a1-a3":-1,"a2-a3":-2}},"k2":{"e0":{"a0-a1":0,"a0-a2":-1,"a0-a3":0,"a1-a2":0,"a1-a3":0,"a2-a3":0},"e1":{"a0-a1":-1,"a0-a2":0,"a0-a3":-1,"a1-a2":-1,"a1-a3":0,"a2-a3":0},"e2":{"a0-a1":-1,"a0-a2":-1,"a0-a3":0,"a1-a2":-1,"a1-a3":0,"a2-a3":0}},"k3":{"e0":{"a0-a1":2,"a0-a2":4,"a0-a3":2,"a1-a2":1,"a1-a3":0,"a2-a3":-1},"e1":{"a0-a1":1,"a0-a2":5,"a0-a3":1,"a1-a2":0,"a1-a3":0,"a2-a3":-1},"e2":{"a0-a1":1,"a0-a2":3,"a0-a3":3,"a1-a2":0,"a1-a3":0,"a2-a3":-1}},"k4":{"e0":{"a0-a1":3,"a0-a2":2,"a0-a3":0,"a1-a2":0,"a1-a3":-3,"a2-a3":-2},"e1":{"a0-a1":2,"a0-a2":3,"a0-a3":0,"a1-a2":-1,"a1-a3":-2,"a2-a3":-3},"e2":{"a0-a1":2,"a0-a2":1,"a0-a3":0,"a1-a2":-1,"a1-a3":-4,"a2-a3":-3}}}}}</v>
      </c>
    </row>
  </sheetData>
  <ignoredErrors>
    <ignoredError numberStoredAsText="1" sqref="A1: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Notas</vt:lpstr>
      <vt:lpstr>Prior 1. Lluvia de ideas</vt:lpstr>
      <vt:lpstr>Prior 2. Tamizaje</vt:lpstr>
      <vt:lpstr>Prior 3. Independencia</vt:lpstr>
      <vt:lpstr>Prior 4. Panel</vt:lpstr>
      <vt:lpstr>Prior 5. Resultado final</vt:lpstr>
      <vt:lpstr>Criterios</vt:lpstr>
      <vt:lpstr>Eficiencia de datos</vt:lpstr>
      <vt:lpstr>Métricas WER CER</vt:lpstr>
      <vt:lpstr>Madurez y soporte de herrami</vt:lpstr>
      <vt:lpstr>Dependencia de anotación</vt:lpstr>
      <vt:lpstr>Transferibilidad entre lengu</vt:lpstr>
      <vt:lpstr>Síntesis</vt:lpstr>
      <vt:lpstr>_datos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